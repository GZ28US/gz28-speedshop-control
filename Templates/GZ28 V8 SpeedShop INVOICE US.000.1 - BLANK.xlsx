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cio\gz28-speedshop-control\Templates\"/>
    </mc:Choice>
  </mc:AlternateContent>
  <xr:revisionPtr revIDLastSave="0" documentId="13_ncr:1_{FE71D715-6143-4FDB-94D7-057EC8AC48A4}" xr6:coauthVersionLast="47" xr6:coauthVersionMax="47" xr10:uidLastSave="{00000000-0000-0000-0000-000000000000}"/>
  <bookViews>
    <workbookView xWindow="-108" yWindow="-108" windowWidth="23256" windowHeight="12456" tabRatio="583" xr2:uid="{00000000-000D-0000-FFFF-FFFF00000000}"/>
  </bookViews>
  <sheets>
    <sheet name="US.028.1" sheetId="15" r:id="rId1"/>
  </sheets>
  <definedNames>
    <definedName name="_xlnm.Print_Area" localSheetId="0">'US.028.1'!$A$1:$M$88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3" i="15" l="1"/>
  <c r="K112" i="15"/>
  <c r="K111" i="15"/>
  <c r="K110" i="15"/>
  <c r="K109" i="15"/>
  <c r="K108" i="15"/>
  <c r="K107" i="15"/>
  <c r="K106" i="15"/>
  <c r="K105" i="15"/>
  <c r="K104" i="15"/>
  <c r="K103" i="15"/>
  <c r="K102" i="15"/>
  <c r="K101" i="15"/>
  <c r="K100" i="15"/>
  <c r="K99" i="15"/>
  <c r="K96" i="15"/>
  <c r="K95" i="15"/>
  <c r="K94" i="15"/>
  <c r="K98" i="15"/>
  <c r="K97" i="15"/>
  <c r="K93" i="15"/>
  <c r="L74" i="15"/>
  <c r="L57" i="15"/>
  <c r="L56" i="15"/>
  <c r="L55" i="15"/>
  <c r="L54" i="15"/>
  <c r="L53" i="15"/>
  <c r="L52" i="15"/>
  <c r="L51" i="15"/>
  <c r="L50" i="15"/>
  <c r="L49" i="15"/>
  <c r="L48" i="15"/>
  <c r="L47" i="15"/>
  <c r="L46" i="15"/>
  <c r="L39" i="15"/>
  <c r="L38" i="15"/>
  <c r="L37" i="15"/>
  <c r="L36" i="15"/>
  <c r="L35" i="15"/>
  <c r="L34" i="15"/>
  <c r="L33" i="15"/>
  <c r="L32" i="15"/>
  <c r="L31" i="15"/>
  <c r="L30" i="15"/>
  <c r="L29" i="15"/>
  <c r="L28" i="15"/>
  <c r="L27" i="15"/>
  <c r="L26" i="15"/>
  <c r="L25" i="15"/>
  <c r="L24" i="15"/>
  <c r="L23" i="15"/>
  <c r="L22" i="15"/>
  <c r="L21" i="15"/>
  <c r="L20" i="15"/>
  <c r="L19" i="15"/>
  <c r="L18" i="15"/>
  <c r="L17" i="15"/>
  <c r="J114" i="15" l="1"/>
  <c r="J116" i="15" s="1"/>
  <c r="L58" i="15"/>
  <c r="L40" i="15"/>
  <c r="L41" i="15" s="1"/>
  <c r="H93" i="15" s="1"/>
  <c r="H114" i="15" s="1"/>
  <c r="H116" i="15" l="1"/>
  <c r="L42" i="15"/>
  <c r="L60" i="15" s="1"/>
  <c r="L62" i="15" s="1"/>
  <c r="J118" i="15" l="1"/>
  <c r="H118" i="15"/>
  <c r="L75" i="15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<sst xmlns="http://schemas.openxmlformats.org/spreadsheetml/2006/main" count="76" uniqueCount="70">
  <si>
    <t>item</t>
  </si>
  <si>
    <t>TOTAL</t>
  </si>
  <si>
    <t>date</t>
  </si>
  <si>
    <t>USD</t>
  </si>
  <si>
    <t>BALANCE</t>
  </si>
  <si>
    <t>qtt</t>
  </si>
  <si>
    <t>supplier</t>
  </si>
  <si>
    <t>CURRENT PROFIT - % / USD</t>
  </si>
  <si>
    <t>GROSS PROFIT</t>
  </si>
  <si>
    <t>COST - TOTAL / PAID</t>
  </si>
  <si>
    <r>
      <rPr>
        <b/>
        <i/>
        <sz val="20"/>
        <color theme="0"/>
        <rFont val="Calibri"/>
        <family val="2"/>
        <scheme val="minor"/>
      </rPr>
      <t>GZ28 V8 SpeedShop USA LLC</t>
    </r>
    <r>
      <rPr>
        <sz val="20"/>
        <color theme="0"/>
        <rFont val="Calibri"/>
        <family val="2"/>
        <scheme val="minor"/>
      </rPr>
      <t xml:space="preserve"> - 11320 Space Blvd, 32837, Orlando/FL</t>
    </r>
  </si>
  <si>
    <r>
      <t xml:space="preserve">PHONE: </t>
    </r>
    <r>
      <rPr>
        <b/>
        <sz val="15"/>
        <color theme="1"/>
        <rFont val="Calibri"/>
        <family val="2"/>
        <scheme val="minor"/>
      </rPr>
      <t>(321)315.0973</t>
    </r>
    <r>
      <rPr>
        <sz val="15"/>
        <color theme="1"/>
        <rFont val="Calibri"/>
        <family val="2"/>
        <scheme val="minor"/>
      </rPr>
      <t xml:space="preserve"> - EMAIL: </t>
    </r>
    <r>
      <rPr>
        <b/>
        <sz val="15"/>
        <color theme="1"/>
        <rFont val="Calibri"/>
        <family val="2"/>
        <scheme val="minor"/>
      </rPr>
      <t>gz28us@hotmail.com</t>
    </r>
    <r>
      <rPr>
        <sz val="15"/>
        <color theme="1"/>
        <rFont val="Calibri"/>
        <family val="2"/>
        <scheme val="minor"/>
      </rPr>
      <t xml:space="preserve"> - IG: </t>
    </r>
    <r>
      <rPr>
        <b/>
        <sz val="15"/>
        <color theme="1"/>
        <rFont val="Calibri"/>
        <family val="2"/>
        <scheme val="minor"/>
      </rPr>
      <t>@gz28us</t>
    </r>
    <r>
      <rPr>
        <sz val="15"/>
        <color theme="1"/>
        <rFont val="Calibri"/>
        <family val="2"/>
        <scheme val="minor"/>
      </rPr>
      <t xml:space="preserve"> / </t>
    </r>
    <r>
      <rPr>
        <b/>
        <sz val="15"/>
        <color theme="1"/>
        <rFont val="Calibri"/>
        <family val="2"/>
        <scheme val="minor"/>
      </rPr>
      <t>@gz28br</t>
    </r>
    <r>
      <rPr>
        <sz val="15"/>
        <color theme="1"/>
        <rFont val="Calibri"/>
        <family val="2"/>
        <scheme val="minor"/>
      </rPr>
      <t xml:space="preserve"> - FB: </t>
    </r>
    <r>
      <rPr>
        <b/>
        <sz val="15"/>
        <color theme="1"/>
        <rFont val="Calibri"/>
        <family val="2"/>
        <scheme val="minor"/>
      </rPr>
      <t>Dema De Maria</t>
    </r>
  </si>
  <si>
    <t>PARTS</t>
  </si>
  <si>
    <t>description</t>
  </si>
  <si>
    <t>unit price</t>
  </si>
  <si>
    <t>qt</t>
  </si>
  <si>
    <t>SubTotal</t>
  </si>
  <si>
    <t>PARTS TOTAL</t>
  </si>
  <si>
    <t>Address:</t>
  </si>
  <si>
    <t>ZIP:</t>
  </si>
  <si>
    <t>City/ST:</t>
  </si>
  <si>
    <t>E-Mail:</t>
  </si>
  <si>
    <t>Brand:</t>
  </si>
  <si>
    <t>Model:</t>
  </si>
  <si>
    <t>Trim:</t>
  </si>
  <si>
    <t>Color:</t>
  </si>
  <si>
    <t>Phone:</t>
  </si>
  <si>
    <t>Project:</t>
  </si>
  <si>
    <t>Mileage:</t>
  </si>
  <si>
    <t>VIN:</t>
  </si>
  <si>
    <t>Plate:</t>
  </si>
  <si>
    <t>SERVICES</t>
  </si>
  <si>
    <t>SERVICES TOTAL</t>
  </si>
  <si>
    <t>PARTS + SERVICES</t>
  </si>
  <si>
    <t>DISCOUNT</t>
  </si>
  <si>
    <t>PAYMENTS</t>
  </si>
  <si>
    <t>CLIENT:</t>
  </si>
  <si>
    <t>DELIVERY DATE:</t>
  </si>
  <si>
    <t>PRINTED NAME</t>
  </si>
  <si>
    <t>_________________________________________</t>
  </si>
  <si>
    <t>GRAND TOTAL</t>
  </si>
  <si>
    <t>Customer:</t>
  </si>
  <si>
    <t>Total PAID</t>
  </si>
  <si>
    <t>Florida Taxes</t>
  </si>
  <si>
    <t>INTERNAL CONTROL</t>
  </si>
  <si>
    <t>TAXES</t>
  </si>
  <si>
    <t>FLORIDA</t>
  </si>
  <si>
    <t>NOTES:</t>
  </si>
  <si>
    <t>field 001</t>
  </si>
  <si>
    <t>field 002</t>
  </si>
  <si>
    <t>field 003</t>
  </si>
  <si>
    <t>field 004</t>
  </si>
  <si>
    <t>field 005</t>
  </si>
  <si>
    <t>field 006</t>
  </si>
  <si>
    <t>field 007</t>
  </si>
  <si>
    <t>field 008</t>
  </si>
  <si>
    <t>field 009</t>
  </si>
  <si>
    <t>field 010</t>
  </si>
  <si>
    <t>field 011</t>
  </si>
  <si>
    <t>field 012</t>
  </si>
  <si>
    <t>field 013</t>
  </si>
  <si>
    <t>field 014</t>
  </si>
  <si>
    <t>field 015</t>
  </si>
  <si>
    <t>field 016</t>
  </si>
  <si>
    <t>field 017</t>
  </si>
  <si>
    <t>field 018</t>
  </si>
  <si>
    <t>field 019</t>
  </si>
  <si>
    <t>field 020</t>
  </si>
  <si>
    <t>INVOICE #</t>
  </si>
  <si>
    <t>Service: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</si>
</sst>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_-[$R$-416]\ * #,##0.00_-;\-[$R$-416]\ * #,##0.00_-;_-[$R$-416]\ * &quot;-&quot;??_-;_-@_-"/>
    <numFmt numFmtId="165" formatCode="[$-416]d\-mmm\-yy;@"/>
    <numFmt numFmtId="166" formatCode="_-[$$-409]* #,##0.00_ ;_-[$$-409]* \-#,##0.00\ ;_-[$$-409]* &quot;-&quot;??_ ;_-@_ "/>
    <numFmt numFmtId="167" formatCode="mm/dd/yy;@"/>
    <numFmt numFmtId="168" formatCode="_([$$-409]* #,##0.00_);_([$$-409]* \(#,##0.00\);_([$$-409]* &quot;-&quot;??_);_(@_)"/>
    <numFmt numFmtId="169" formatCode="0.0%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5"/>
      <color theme="0"/>
      <name val="Calibri"/>
      <family val="2"/>
      <scheme val="minor"/>
    </font>
    <font>
      <sz val="1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5"/>
      <color rgb="FF000000"/>
      <name val="Calibri"/>
      <family val="2"/>
      <scheme val="minor"/>
    </font>
    <font>
      <i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80808"/>
        <bgColor indexed="64"/>
      </patternFill>
    </fill>
    <fill>
      <patternFill patternType="solid">
        <fgColor theme="1"/>
        <bgColor rgb="FFA4C2F4"/>
      </patternFill>
    </fill>
    <fill>
      <patternFill patternType="solid">
        <fgColor rgb="FF0000FF"/>
        <bgColor rgb="FFA4C2F4"/>
      </patternFill>
    </fill>
    <fill>
      <patternFill patternType="solid">
        <fgColor rgb="FF0000FF"/>
        <bgColor rgb="FF000000"/>
      </patternFill>
    </fill>
    <fill>
      <patternFill patternType="solid">
        <fgColor theme="1"/>
        <bgColor rgb="FFFF0000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66">
    <xf numFmtId="0" fontId="0" fillId="0" borderId="0" xfId="0"/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4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166" fontId="20" fillId="3" borderId="1" xfId="0" applyNumberFormat="1" applyFont="1" applyFill="1" applyBorder="1" applyAlignment="1">
      <alignment horizontal="center" vertical="center"/>
    </xf>
    <xf numFmtId="166" fontId="21" fillId="3" borderId="14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166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5" xfId="0" applyFont="1" applyFill="1" applyBorder="1" applyAlignment="1">
      <alignment horizontal="right" vertical="center"/>
    </xf>
    <xf numFmtId="0" fontId="5" fillId="2" borderId="18" xfId="0" applyFont="1" applyFill="1" applyBorder="1" applyAlignment="1">
      <alignment horizontal="right" vertical="center"/>
    </xf>
    <xf numFmtId="0" fontId="10" fillId="3" borderId="18" xfId="0" applyFont="1" applyFill="1" applyBorder="1" applyAlignment="1">
      <alignment horizontal="left" vertical="center"/>
    </xf>
    <xf numFmtId="0" fontId="10" fillId="3" borderId="10" xfId="0" applyFont="1" applyFill="1" applyBorder="1" applyAlignment="1">
      <alignment vertical="center"/>
    </xf>
    <xf numFmtId="0" fontId="10" fillId="3" borderId="12" xfId="0" applyFont="1" applyFill="1" applyBorder="1" applyAlignment="1">
      <alignment horizontal="left" vertical="center"/>
    </xf>
    <xf numFmtId="0" fontId="10" fillId="3" borderId="15" xfId="0" applyFont="1" applyFill="1" applyBorder="1" applyAlignment="1">
      <alignment vertical="center"/>
    </xf>
    <xf numFmtId="0" fontId="10" fillId="3" borderId="18" xfId="0" applyFont="1" applyFill="1" applyBorder="1" applyAlignment="1">
      <alignment vertical="center"/>
    </xf>
    <xf numFmtId="3" fontId="10" fillId="3" borderId="18" xfId="0" applyNumberFormat="1" applyFont="1" applyFill="1" applyBorder="1" applyAlignment="1">
      <alignment vertical="center"/>
    </xf>
    <xf numFmtId="166" fontId="5" fillId="7" borderId="14" xfId="0" applyNumberFormat="1" applyFont="1" applyFill="1" applyBorder="1" applyAlignment="1">
      <alignment horizontal="center" vertical="center"/>
    </xf>
    <xf numFmtId="166" fontId="5" fillId="5" borderId="14" xfId="0" applyNumberFormat="1" applyFont="1" applyFill="1" applyBorder="1" applyAlignment="1">
      <alignment horizontal="center" vertical="center"/>
    </xf>
    <xf numFmtId="166" fontId="8" fillId="6" borderId="12" xfId="0" applyNumberFormat="1" applyFont="1" applyFill="1" applyBorder="1" applyAlignment="1">
      <alignment horizontal="center" vertical="center"/>
    </xf>
    <xf numFmtId="166" fontId="5" fillId="2" borderId="12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2" fillId="0" borderId="0" xfId="0" applyFont="1" applyAlignment="1">
      <alignment horizontal="right" vertical="center"/>
    </xf>
    <xf numFmtId="166" fontId="22" fillId="3" borderId="14" xfId="0" applyNumberFormat="1" applyFont="1" applyFill="1" applyBorder="1" applyAlignment="1">
      <alignment horizontal="center" vertical="center"/>
    </xf>
    <xf numFmtId="166" fontId="8" fillId="5" borderId="12" xfId="0" applyNumberFormat="1" applyFont="1" applyFill="1" applyBorder="1" applyAlignment="1">
      <alignment horizontal="center" vertical="center"/>
    </xf>
    <xf numFmtId="166" fontId="5" fillId="4" borderId="10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/>
    </xf>
    <xf numFmtId="165" fontId="9" fillId="0" borderId="0" xfId="0" applyNumberFormat="1" applyFont="1" applyAlignment="1">
      <alignment horizontal="center"/>
    </xf>
    <xf numFmtId="0" fontId="0" fillId="0" borderId="0" xfId="0" applyAlignment="1">
      <alignment horizontal="center" vertical="top"/>
    </xf>
    <xf numFmtId="165" fontId="0" fillId="0" borderId="0" xfId="0" applyNumberFormat="1" applyAlignment="1">
      <alignment horizontal="center" vertical="top"/>
    </xf>
    <xf numFmtId="169" fontId="5" fillId="5" borderId="20" xfId="1" applyNumberFormat="1" applyFont="1" applyFill="1" applyBorder="1" applyAlignment="1">
      <alignment horizontal="center" vertical="center"/>
    </xf>
    <xf numFmtId="166" fontId="8" fillId="2" borderId="12" xfId="0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 wrapText="1"/>
    </xf>
    <xf numFmtId="167" fontId="3" fillId="0" borderId="1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2" fontId="26" fillId="2" borderId="1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6" fontId="0" fillId="2" borderId="0" xfId="0" applyNumberFormat="1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166" fontId="20" fillId="3" borderId="14" xfId="0" applyNumberFormat="1" applyFont="1" applyFill="1" applyBorder="1" applyAlignment="1">
      <alignment horizontal="center" vertical="center"/>
    </xf>
    <xf numFmtId="9" fontId="22" fillId="10" borderId="14" xfId="1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165" fontId="10" fillId="0" borderId="0" xfId="0" applyNumberFormat="1" applyFont="1" applyAlignment="1">
      <alignment horizontal="center"/>
    </xf>
    <xf numFmtId="164" fontId="25" fillId="0" borderId="29" xfId="0" applyNumberFormat="1" applyFont="1" applyBorder="1" applyAlignment="1">
      <alignment horizontal="center" vertical="center"/>
    </xf>
    <xf numFmtId="164" fontId="25" fillId="0" borderId="30" xfId="0" applyNumberFormat="1" applyFont="1" applyBorder="1" applyAlignment="1">
      <alignment horizontal="center" vertical="center"/>
    </xf>
    <xf numFmtId="10" fontId="26" fillId="11" borderId="30" xfId="1" applyNumberFormat="1" applyFont="1" applyFill="1" applyBorder="1" applyAlignment="1">
      <alignment horizontal="center" vertical="center"/>
    </xf>
    <xf numFmtId="10" fontId="26" fillId="11" borderId="32" xfId="1" applyNumberFormat="1" applyFont="1" applyFill="1" applyBorder="1" applyAlignment="1">
      <alignment horizontal="center" vertical="center"/>
    </xf>
    <xf numFmtId="166" fontId="26" fillId="11" borderId="29" xfId="0" applyNumberFormat="1" applyFont="1" applyFill="1" applyBorder="1" applyAlignment="1">
      <alignment horizontal="center" vertical="center"/>
    </xf>
    <xf numFmtId="166" fontId="26" fillId="11" borderId="30" xfId="0" applyNumberFormat="1" applyFont="1" applyFill="1" applyBorder="1" applyAlignment="1">
      <alignment horizontal="center" vertical="center"/>
    </xf>
    <xf numFmtId="166" fontId="26" fillId="11" borderId="31" xfId="0" applyNumberFormat="1" applyFont="1" applyFill="1" applyBorder="1" applyAlignment="1">
      <alignment horizontal="center" vertical="center"/>
    </xf>
    <xf numFmtId="168" fontId="26" fillId="11" borderId="29" xfId="1" applyNumberFormat="1" applyFont="1" applyFill="1" applyBorder="1" applyAlignment="1">
      <alignment horizontal="center" vertical="center"/>
    </xf>
    <xf numFmtId="168" fontId="26" fillId="11" borderId="30" xfId="1" applyNumberFormat="1" applyFont="1" applyFill="1" applyBorder="1" applyAlignment="1">
      <alignment horizontal="center" vertical="center"/>
    </xf>
    <xf numFmtId="168" fontId="26" fillId="11" borderId="31" xfId="1" applyNumberFormat="1" applyFont="1" applyFill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44" fontId="3" fillId="0" borderId="8" xfId="2" applyFont="1" applyBorder="1" applyAlignment="1">
      <alignment horizontal="center" vertical="center"/>
    </xf>
    <xf numFmtId="44" fontId="3" fillId="0" borderId="25" xfId="2" applyFont="1" applyBorder="1" applyAlignment="1">
      <alignment horizontal="center" vertical="center"/>
    </xf>
    <xf numFmtId="0" fontId="26" fillId="2" borderId="26" xfId="0" applyFont="1" applyFill="1" applyBorder="1" applyAlignment="1">
      <alignment horizontal="center" vertical="center"/>
    </xf>
    <xf numFmtId="0" fontId="26" fillId="2" borderId="27" xfId="0" applyFont="1" applyFill="1" applyBorder="1" applyAlignment="1">
      <alignment horizontal="center" vertical="center"/>
    </xf>
    <xf numFmtId="0" fontId="26" fillId="2" borderId="28" xfId="0" applyFont="1" applyFill="1" applyBorder="1" applyAlignment="1">
      <alignment horizontal="center" vertical="center"/>
    </xf>
    <xf numFmtId="166" fontId="26" fillId="2" borderId="18" xfId="0" applyNumberFormat="1" applyFont="1" applyFill="1" applyBorder="1" applyAlignment="1">
      <alignment horizontal="center" vertical="center"/>
    </xf>
    <xf numFmtId="168" fontId="26" fillId="2" borderId="18" xfId="0" applyNumberFormat="1" applyFont="1" applyFill="1" applyBorder="1" applyAlignment="1">
      <alignment horizontal="center" vertical="center"/>
    </xf>
    <xf numFmtId="168" fontId="26" fillId="2" borderId="12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3" fillId="0" borderId="21" xfId="0" applyNumberFormat="1" applyFont="1" applyBorder="1" applyAlignment="1">
      <alignment horizontal="center" vertical="center" wrapText="1"/>
    </xf>
    <xf numFmtId="14" fontId="3" fillId="0" borderId="20" xfId="0" applyNumberFormat="1" applyFont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top"/>
    </xf>
    <xf numFmtId="0" fontId="0" fillId="3" borderId="2" xfId="0" applyFill="1" applyBorder="1" applyAlignment="1">
      <alignment horizontal="center" vertical="top"/>
    </xf>
    <xf numFmtId="0" fontId="0" fillId="3" borderId="7" xfId="0" applyFill="1" applyBorder="1" applyAlignment="1">
      <alignment horizontal="center" vertical="top"/>
    </xf>
    <xf numFmtId="165" fontId="28" fillId="0" borderId="22" xfId="0" applyNumberFormat="1" applyFont="1" applyBorder="1" applyAlignment="1">
      <alignment horizontal="center" vertical="center"/>
    </xf>
    <xf numFmtId="165" fontId="28" fillId="0" borderId="23" xfId="0" applyNumberFormat="1" applyFont="1" applyBorder="1" applyAlignment="1">
      <alignment horizontal="center" vertical="center"/>
    </xf>
    <xf numFmtId="165" fontId="28" fillId="0" borderId="24" xfId="0" applyNumberFormat="1" applyFont="1" applyBorder="1" applyAlignment="1">
      <alignment horizontal="center" vertical="center"/>
    </xf>
    <xf numFmtId="0" fontId="26" fillId="2" borderId="13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66" fontId="26" fillId="2" borderId="1" xfId="0" applyNumberFormat="1" applyFont="1" applyFill="1" applyBorder="1" applyAlignment="1">
      <alignment horizontal="center" vertical="center"/>
    </xf>
    <xf numFmtId="166" fontId="26" fillId="2" borderId="14" xfId="0" applyNumberFormat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right" vertical="center" wrapText="1"/>
    </xf>
    <xf numFmtId="0" fontId="8" fillId="2" borderId="18" xfId="0" applyFont="1" applyFill="1" applyBorder="1" applyAlignment="1">
      <alignment horizontal="right" vertical="center"/>
    </xf>
    <xf numFmtId="0" fontId="8" fillId="5" borderId="11" xfId="0" applyFont="1" applyFill="1" applyBorder="1" applyAlignment="1">
      <alignment horizontal="right" vertical="center" wrapText="1"/>
    </xf>
    <xf numFmtId="0" fontId="8" fillId="5" borderId="18" xfId="0" applyFont="1" applyFill="1" applyBorder="1" applyAlignment="1">
      <alignment horizontal="right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/>
    </xf>
    <xf numFmtId="0" fontId="12" fillId="3" borderId="0" xfId="0" applyFont="1" applyFill="1" applyAlignment="1">
      <alignment horizontal="center"/>
    </xf>
    <xf numFmtId="0" fontId="12" fillId="3" borderId="17" xfId="0" applyFont="1" applyFill="1" applyBorder="1" applyAlignment="1">
      <alignment horizontal="center"/>
    </xf>
    <xf numFmtId="0" fontId="10" fillId="3" borderId="16" xfId="0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10" fillId="3" borderId="17" xfId="0" applyFont="1" applyFill="1" applyBorder="1" applyAlignment="1">
      <alignment horizontal="center"/>
    </xf>
    <xf numFmtId="167" fontId="22" fillId="3" borderId="13" xfId="0" applyNumberFormat="1" applyFont="1" applyFill="1" applyBorder="1" applyAlignment="1">
      <alignment horizontal="center" vertical="center" wrapText="1"/>
    </xf>
    <xf numFmtId="167" fontId="22" fillId="3" borderId="1" xfId="0" applyNumberFormat="1" applyFont="1" applyFill="1" applyBorder="1" applyAlignment="1">
      <alignment horizontal="center" vertical="center" wrapText="1"/>
    </xf>
    <xf numFmtId="0" fontId="22" fillId="3" borderId="8" xfId="0" applyFont="1" applyFill="1" applyBorder="1" applyAlignment="1">
      <alignment horizontal="center" vertical="center"/>
    </xf>
    <xf numFmtId="0" fontId="22" fillId="3" borderId="19" xfId="0" applyFont="1" applyFill="1" applyBorder="1" applyAlignment="1">
      <alignment horizontal="center" vertical="center"/>
    </xf>
    <xf numFmtId="0" fontId="22" fillId="3" borderId="20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right" vertical="center"/>
    </xf>
    <xf numFmtId="0" fontId="17" fillId="2" borderId="18" xfId="0" applyFont="1" applyFill="1" applyBorder="1" applyAlignment="1">
      <alignment horizontal="right" vertical="center"/>
    </xf>
    <xf numFmtId="0" fontId="5" fillId="4" borderId="9" xfId="0" applyFont="1" applyFill="1" applyBorder="1" applyAlignment="1">
      <alignment horizontal="right" vertical="center" wrapText="1"/>
    </xf>
    <xf numFmtId="0" fontId="5" fillId="4" borderId="15" xfId="0" applyFont="1" applyFill="1" applyBorder="1" applyAlignment="1">
      <alignment horizontal="right" vertical="center"/>
    </xf>
    <xf numFmtId="0" fontId="22" fillId="10" borderId="13" xfId="0" applyFont="1" applyFill="1" applyBorder="1" applyAlignment="1">
      <alignment horizontal="right" vertical="center" wrapText="1"/>
    </xf>
    <xf numFmtId="0" fontId="22" fillId="10" borderId="1" xfId="0" applyFont="1" applyFill="1" applyBorder="1" applyAlignment="1">
      <alignment horizontal="right" vertical="center"/>
    </xf>
    <xf numFmtId="0" fontId="5" fillId="2" borderId="11" xfId="0" applyFont="1" applyFill="1" applyBorder="1" applyAlignment="1">
      <alignment horizontal="right" vertical="center" wrapText="1"/>
    </xf>
    <xf numFmtId="0" fontId="5" fillId="2" borderId="18" xfId="0" applyFont="1" applyFill="1" applyBorder="1" applyAlignment="1">
      <alignment horizontal="right" vertical="center"/>
    </xf>
    <xf numFmtId="0" fontId="8" fillId="2" borderId="9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5" fillId="5" borderId="21" xfId="0" applyFont="1" applyFill="1" applyBorder="1" applyAlignment="1">
      <alignment horizontal="right" vertical="center" wrapText="1"/>
    </xf>
    <xf numFmtId="0" fontId="5" fillId="5" borderId="19" xfId="0" applyFont="1" applyFill="1" applyBorder="1" applyAlignment="1">
      <alignment horizontal="right" vertical="center" wrapText="1"/>
    </xf>
    <xf numFmtId="0" fontId="8" fillId="9" borderId="9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vertical="center"/>
    </xf>
    <xf numFmtId="0" fontId="17" fillId="2" borderId="10" xfId="0" applyFont="1" applyFill="1" applyBorder="1" applyAlignment="1">
      <alignment vertical="center"/>
    </xf>
    <xf numFmtId="0" fontId="21" fillId="3" borderId="13" xfId="0" applyFont="1" applyFill="1" applyBorder="1" applyAlignment="1">
      <alignment horizontal="center" vertical="center" textRotation="90" wrapText="1"/>
    </xf>
    <xf numFmtId="0" fontId="5" fillId="8" borderId="21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5" fillId="2" borderId="11" xfId="0" applyFont="1" applyFill="1" applyBorder="1" applyAlignment="1">
      <alignment horizontal="right" vertical="center"/>
    </xf>
    <xf numFmtId="0" fontId="5" fillId="2" borderId="9" xfId="0" applyFont="1" applyFill="1" applyBorder="1" applyAlignment="1">
      <alignment horizontal="right" vertical="center"/>
    </xf>
    <xf numFmtId="0" fontId="5" fillId="2" borderId="15" xfId="0" applyFont="1" applyFill="1" applyBorder="1" applyAlignment="1">
      <alignment horizontal="right" vertical="center"/>
    </xf>
    <xf numFmtId="0" fontId="10" fillId="3" borderId="15" xfId="0" applyFont="1" applyFill="1" applyBorder="1" applyAlignment="1">
      <alignment horizontal="left" vertical="center"/>
    </xf>
    <xf numFmtId="0" fontId="10" fillId="3" borderId="18" xfId="0" applyFont="1" applyFill="1" applyBorder="1" applyAlignment="1">
      <alignment horizontal="left" vertical="center"/>
    </xf>
    <xf numFmtId="165" fontId="11" fillId="0" borderId="0" xfId="0" applyNumberFormat="1" applyFont="1" applyAlignment="1">
      <alignment horizontal="left" vertical="center"/>
    </xf>
    <xf numFmtId="166" fontId="5" fillId="2" borderId="3" xfId="0" applyNumberFormat="1" applyFont="1" applyFill="1" applyBorder="1" applyAlignment="1">
      <alignment horizontal="center" vertical="center"/>
    </xf>
    <xf numFmtId="166" fontId="5" fillId="2" borderId="4" xfId="0" applyNumberFormat="1" applyFont="1" applyFill="1" applyBorder="1" applyAlignment="1">
      <alignment horizontal="center" vertical="center"/>
    </xf>
    <xf numFmtId="166" fontId="5" fillId="2" borderId="5" xfId="0" applyNumberFormat="1" applyFont="1" applyFill="1" applyBorder="1" applyAlignment="1">
      <alignment horizontal="center" vertical="center"/>
    </xf>
    <xf numFmtId="166" fontId="14" fillId="5" borderId="16" xfId="0" applyNumberFormat="1" applyFont="1" applyFill="1" applyBorder="1" applyAlignment="1">
      <alignment horizontal="center" vertical="center"/>
    </xf>
    <xf numFmtId="166" fontId="14" fillId="5" borderId="0" xfId="0" applyNumberFormat="1" applyFont="1" applyFill="1" applyAlignment="1">
      <alignment horizontal="center" vertical="center"/>
    </xf>
    <xf numFmtId="166" fontId="14" fillId="5" borderId="17" xfId="0" applyNumberFormat="1" applyFont="1" applyFill="1" applyBorder="1" applyAlignment="1">
      <alignment horizontal="center" vertical="center"/>
    </xf>
    <xf numFmtId="167" fontId="22" fillId="3" borderId="6" xfId="0" applyNumberFormat="1" applyFont="1" applyFill="1" applyBorder="1" applyAlignment="1">
      <alignment horizontal="center" vertical="center"/>
    </xf>
    <xf numFmtId="167" fontId="22" fillId="3" borderId="2" xfId="0" applyNumberFormat="1" applyFont="1" applyFill="1" applyBorder="1" applyAlignment="1">
      <alignment horizontal="center" vertical="center"/>
    </xf>
    <xf numFmtId="167" fontId="22" fillId="3" borderId="7" xfId="0" applyNumberFormat="1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</cellXfs>
  <cellStyles count="3">
    <cellStyle name="Moeda" xfId="2" builtinId="4"/>
    <cellStyle name="Normal" xfId="0" builtinId="0"/>
    <cellStyle name="Porcentagem" xfId="1" builtinId="5"/>
  </cellStyles>
  <dxfs count="4">
    <dxf>
      <font>
        <color theme="5" tint="0.79998168889431442"/>
      </font>
      <fill>
        <patternFill>
          <bgColor rgb="FFC00000"/>
        </patternFill>
      </fill>
    </dxf>
    <dxf>
      <font>
        <color theme="5" tint="0.79998168889431442"/>
      </font>
      <fill>
        <patternFill>
          <bgColor rgb="FFC00000"/>
        </patternFill>
      </fill>
    </dxf>
    <dxf>
      <font>
        <color theme="5" tint="0.79998168889431442"/>
      </font>
      <fill>
        <patternFill>
          <bgColor rgb="FFC00000"/>
        </patternFill>
      </fill>
    </dxf>
    <dxf>
      <font>
        <color theme="5" tint="0.79998168889431442"/>
      </font>
      <fill>
        <patternFill>
          <bgColor rgb="FFC00000"/>
        </patternFill>
      </fill>
    </dxf>
  </dxfs>
  <tableStyles count="0" defaultTableStyle="TableStyleMedium2" defaultPivotStyle="PivotStyleLight16"/>
  <colors>
    <mruColors>
      <color rgb="FF0000FF"/>
      <color rgb="FFF808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7265B-F1E0-4B4E-9E7A-FB95F9238993}">
  <sheetPr>
    <pageSetUpPr fitToPage="1"/>
  </sheetPr>
  <dimension ref="A1:M118"/>
  <sheetViews>
    <sheetView showGridLines="0" tabSelected="1" topLeftCell="A86" zoomScale="80" zoomScaleNormal="80" workbookViewId="0">
      <selection activeCell="I14" sqref="I14"/>
    </sheetView>
  </sheetViews>
  <sheetFormatPr defaultColWidth="9.5546875" defaultRowHeight="14.85" customHeight="1" x14ac:dyDescent="0.3"/>
  <cols>
    <col min="1" max="1" width="2.77734375" style="40" customWidth="1"/>
    <col min="2" max="2" width="5.77734375" style="40" customWidth="1"/>
    <col min="3" max="3" width="5.77734375" style="1" customWidth="1"/>
    <col min="4" max="4" width="20.77734375" style="40" customWidth="1"/>
    <col min="5" max="5" width="10.77734375" style="40" customWidth="1"/>
    <col min="6" max="6" width="35.77734375" style="40" customWidth="1"/>
    <col min="7" max="7" width="10.77734375" style="40" customWidth="1"/>
    <col min="8" max="8" width="20.77734375" style="40" customWidth="1"/>
    <col min="9" max="9" width="10.77734375" style="41" customWidth="1"/>
    <col min="10" max="10" width="20.77734375" style="40" customWidth="1"/>
    <col min="11" max="11" width="10.77734375" style="40" customWidth="1"/>
    <col min="12" max="12" width="30.77734375" style="42" customWidth="1"/>
    <col min="13" max="13" width="2.77734375" style="42" customWidth="1"/>
    <col min="14" max="16384" width="9.5546875" style="40"/>
  </cols>
  <sheetData>
    <row r="1" spans="2:13" ht="14.85" customHeight="1" thickBot="1" x14ac:dyDescent="0.35"/>
    <row r="2" spans="2:13" s="8" customFormat="1" ht="19.95" customHeight="1" x14ac:dyDescent="0.3">
      <c r="B2" s="150" t="e" vm="1">
        <v>#VALUE!</v>
      </c>
      <c r="C2" s="150"/>
      <c r="D2" s="150"/>
      <c r="E2" s="150"/>
      <c r="F2" s="150"/>
      <c r="G2" s="150"/>
      <c r="H2" s="150"/>
      <c r="J2" s="151" t="s">
        <v>68</v>
      </c>
      <c r="K2" s="152"/>
      <c r="L2" s="153"/>
      <c r="M2" s="9"/>
    </row>
    <row r="3" spans="2:13" s="2" customFormat="1" ht="40.049999999999997" customHeight="1" x14ac:dyDescent="0.3">
      <c r="B3" s="150"/>
      <c r="C3" s="150"/>
      <c r="D3" s="150"/>
      <c r="E3" s="150"/>
      <c r="F3" s="150"/>
      <c r="G3" s="150"/>
      <c r="H3" s="150"/>
      <c r="J3" s="154" t="s">
        <v>48</v>
      </c>
      <c r="K3" s="155"/>
      <c r="L3" s="156"/>
      <c r="M3" s="3"/>
    </row>
    <row r="4" spans="2:13" s="26" customFormat="1" ht="19.95" customHeight="1" thickBot="1" x14ac:dyDescent="0.35">
      <c r="B4" s="150"/>
      <c r="C4" s="150"/>
      <c r="D4" s="150"/>
      <c r="E4" s="150"/>
      <c r="F4" s="150"/>
      <c r="G4" s="150"/>
      <c r="H4" s="150"/>
      <c r="I4" s="24"/>
      <c r="J4" s="157" t="s">
        <v>49</v>
      </c>
      <c r="K4" s="158"/>
      <c r="L4" s="159"/>
      <c r="M4" s="25"/>
    </row>
    <row r="5" spans="2:13" ht="14.85" customHeight="1" thickBot="1" x14ac:dyDescent="0.35"/>
    <row r="6" spans="2:13" s="10" customFormat="1" ht="40.049999999999997" customHeight="1" x14ac:dyDescent="0.3">
      <c r="B6" s="160" t="s">
        <v>10</v>
      </c>
      <c r="C6" s="161"/>
      <c r="D6" s="161"/>
      <c r="E6" s="161"/>
      <c r="F6" s="161"/>
      <c r="G6" s="161"/>
      <c r="H6" s="161"/>
      <c r="I6" s="161"/>
      <c r="J6" s="161"/>
      <c r="K6" s="161"/>
      <c r="L6" s="162"/>
      <c r="M6" s="11"/>
    </row>
    <row r="7" spans="2:13" s="12" customFormat="1" ht="25.05" customHeight="1" thickBot="1" x14ac:dyDescent="0.35">
      <c r="B7" s="163" t="s">
        <v>11</v>
      </c>
      <c r="C7" s="164"/>
      <c r="D7" s="164"/>
      <c r="E7" s="164"/>
      <c r="F7" s="164"/>
      <c r="G7" s="164"/>
      <c r="H7" s="164"/>
      <c r="I7" s="164"/>
      <c r="J7" s="164"/>
      <c r="K7" s="164"/>
      <c r="L7" s="165"/>
      <c r="M7" s="13"/>
    </row>
    <row r="8" spans="2:13" ht="4.95" customHeight="1" thickBot="1" x14ac:dyDescent="0.35"/>
    <row r="9" spans="2:13" s="2" customFormat="1" ht="19.95" customHeight="1" x14ac:dyDescent="0.3">
      <c r="B9" s="146" t="s">
        <v>41</v>
      </c>
      <c r="C9" s="147"/>
      <c r="D9" s="148" t="s">
        <v>50</v>
      </c>
      <c r="E9" s="148"/>
      <c r="F9" s="148"/>
      <c r="G9" s="148"/>
      <c r="H9" s="148"/>
      <c r="I9" s="27" t="s">
        <v>21</v>
      </c>
      <c r="J9" s="32" t="s">
        <v>51</v>
      </c>
      <c r="K9" s="27" t="s">
        <v>26</v>
      </c>
      <c r="L9" s="30" t="s">
        <v>52</v>
      </c>
      <c r="M9" s="3"/>
    </row>
    <row r="10" spans="2:13" s="2" customFormat="1" ht="19.95" customHeight="1" thickBot="1" x14ac:dyDescent="0.35">
      <c r="B10" s="145" t="s">
        <v>18</v>
      </c>
      <c r="C10" s="130"/>
      <c r="D10" s="149" t="s">
        <v>53</v>
      </c>
      <c r="E10" s="149"/>
      <c r="F10" s="149"/>
      <c r="G10" s="149"/>
      <c r="H10" s="149"/>
      <c r="I10" s="28" t="s">
        <v>20</v>
      </c>
      <c r="J10" s="29" t="s">
        <v>54</v>
      </c>
      <c r="K10" s="28" t="s">
        <v>19</v>
      </c>
      <c r="L10" s="31" t="s">
        <v>55</v>
      </c>
      <c r="M10" s="23"/>
    </row>
    <row r="11" spans="2:13" ht="4.95" customHeight="1" thickBot="1" x14ac:dyDescent="0.35"/>
    <row r="12" spans="2:13" s="2" customFormat="1" ht="19.95" customHeight="1" x14ac:dyDescent="0.3">
      <c r="B12" s="146" t="s">
        <v>22</v>
      </c>
      <c r="C12" s="147"/>
      <c r="D12" s="32" t="s">
        <v>56</v>
      </c>
      <c r="E12" s="27" t="s">
        <v>23</v>
      </c>
      <c r="F12" s="32" t="s">
        <v>57</v>
      </c>
      <c r="G12" s="27" t="s">
        <v>24</v>
      </c>
      <c r="H12" s="148" t="s">
        <v>58</v>
      </c>
      <c r="I12" s="148"/>
      <c r="J12" s="148"/>
      <c r="K12" s="27" t="s">
        <v>25</v>
      </c>
      <c r="L12" s="30" t="s">
        <v>59</v>
      </c>
      <c r="M12" s="3"/>
    </row>
    <row r="13" spans="2:13" s="2" customFormat="1" ht="19.95" customHeight="1" thickBot="1" x14ac:dyDescent="0.35">
      <c r="B13" s="145" t="s">
        <v>28</v>
      </c>
      <c r="C13" s="130"/>
      <c r="D13" s="34" t="s">
        <v>60</v>
      </c>
      <c r="E13" s="28" t="s">
        <v>29</v>
      </c>
      <c r="F13" s="33" t="s">
        <v>61</v>
      </c>
      <c r="G13" s="28" t="s">
        <v>30</v>
      </c>
      <c r="H13" s="33" t="s">
        <v>62</v>
      </c>
      <c r="I13" s="28" t="s">
        <v>69</v>
      </c>
      <c r="J13" s="33" t="s">
        <v>63</v>
      </c>
      <c r="K13" s="28" t="s">
        <v>27</v>
      </c>
      <c r="L13" s="31" t="s">
        <v>64</v>
      </c>
      <c r="M13" s="23"/>
    </row>
    <row r="14" spans="2:13" ht="14.85" customHeight="1" thickBot="1" x14ac:dyDescent="0.35"/>
    <row r="15" spans="2:13" s="15" customFormat="1" ht="25.05" customHeight="1" x14ac:dyDescent="0.3">
      <c r="B15" s="136" t="s">
        <v>12</v>
      </c>
      <c r="C15" s="137"/>
      <c r="D15" s="137"/>
      <c r="E15" s="137"/>
      <c r="F15" s="137"/>
      <c r="G15" s="137"/>
      <c r="H15" s="137"/>
      <c r="I15" s="137"/>
      <c r="J15" s="137"/>
      <c r="K15" s="137"/>
      <c r="L15" s="138"/>
    </row>
    <row r="16" spans="2:13" s="2" customFormat="1" ht="15" customHeight="1" x14ac:dyDescent="0.3">
      <c r="B16" s="140" t="s">
        <v>13</v>
      </c>
      <c r="C16" s="141"/>
      <c r="D16" s="141"/>
      <c r="E16" s="141"/>
      <c r="F16" s="141"/>
      <c r="G16" s="141"/>
      <c r="H16" s="141"/>
      <c r="I16" s="142"/>
      <c r="J16" s="18" t="s">
        <v>14</v>
      </c>
      <c r="K16" s="18" t="s">
        <v>15</v>
      </c>
      <c r="L16" s="19" t="s">
        <v>1</v>
      </c>
    </row>
    <row r="17" spans="2:12" s="14" customFormat="1" ht="15" customHeight="1" x14ac:dyDescent="0.3">
      <c r="B17" s="139" t="s">
        <v>65</v>
      </c>
      <c r="C17" s="122"/>
      <c r="D17" s="122"/>
      <c r="E17" s="122"/>
      <c r="F17" s="122"/>
      <c r="G17" s="122"/>
      <c r="H17" s="122"/>
      <c r="I17" s="122"/>
      <c r="J17" s="21"/>
      <c r="K17" s="20"/>
      <c r="L17" s="65">
        <f>J17*K17</f>
        <v>0</v>
      </c>
    </row>
    <row r="18" spans="2:12" s="14" customFormat="1" ht="15" customHeight="1" x14ac:dyDescent="0.3">
      <c r="B18" s="139"/>
      <c r="C18" s="122"/>
      <c r="D18" s="122"/>
      <c r="E18" s="122"/>
      <c r="F18" s="122"/>
      <c r="G18" s="122"/>
      <c r="H18" s="122"/>
      <c r="I18" s="122"/>
      <c r="J18" s="21"/>
      <c r="K18" s="20"/>
      <c r="L18" s="65">
        <f t="shared" ref="L18:L39" si="0">J18*K18</f>
        <v>0</v>
      </c>
    </row>
    <row r="19" spans="2:12" s="14" customFormat="1" ht="15" customHeight="1" x14ac:dyDescent="0.3">
      <c r="B19" s="139"/>
      <c r="C19" s="122"/>
      <c r="D19" s="122"/>
      <c r="E19" s="122"/>
      <c r="F19" s="122"/>
      <c r="G19" s="122"/>
      <c r="H19" s="122"/>
      <c r="I19" s="122"/>
      <c r="J19" s="21"/>
      <c r="K19" s="20"/>
      <c r="L19" s="22">
        <f t="shared" si="0"/>
        <v>0</v>
      </c>
    </row>
    <row r="20" spans="2:12" s="14" customFormat="1" ht="15" customHeight="1" x14ac:dyDescent="0.3">
      <c r="B20" s="139"/>
      <c r="C20" s="122"/>
      <c r="D20" s="122"/>
      <c r="E20" s="122"/>
      <c r="F20" s="122"/>
      <c r="G20" s="122"/>
      <c r="H20" s="122"/>
      <c r="I20" s="122"/>
      <c r="J20" s="21"/>
      <c r="K20" s="20"/>
      <c r="L20" s="22">
        <f t="shared" si="0"/>
        <v>0</v>
      </c>
    </row>
    <row r="21" spans="2:12" s="14" customFormat="1" ht="15" customHeight="1" x14ac:dyDescent="0.3">
      <c r="B21" s="139"/>
      <c r="C21" s="122"/>
      <c r="D21" s="122"/>
      <c r="E21" s="122"/>
      <c r="F21" s="122"/>
      <c r="G21" s="122"/>
      <c r="H21" s="122"/>
      <c r="I21" s="122"/>
      <c r="J21" s="21"/>
      <c r="K21" s="20"/>
      <c r="L21" s="22">
        <f t="shared" si="0"/>
        <v>0</v>
      </c>
    </row>
    <row r="22" spans="2:12" s="14" customFormat="1" ht="15" customHeight="1" x14ac:dyDescent="0.3">
      <c r="B22" s="139"/>
      <c r="C22" s="122"/>
      <c r="D22" s="122"/>
      <c r="E22" s="122"/>
      <c r="F22" s="122"/>
      <c r="G22" s="122"/>
      <c r="H22" s="122"/>
      <c r="I22" s="122"/>
      <c r="J22" s="21"/>
      <c r="K22" s="20"/>
      <c r="L22" s="22">
        <f t="shared" si="0"/>
        <v>0</v>
      </c>
    </row>
    <row r="23" spans="2:12" s="14" customFormat="1" ht="15" customHeight="1" x14ac:dyDescent="0.3">
      <c r="B23" s="139"/>
      <c r="C23" s="122"/>
      <c r="D23" s="122"/>
      <c r="E23" s="122"/>
      <c r="F23" s="122"/>
      <c r="G23" s="122"/>
      <c r="H23" s="122"/>
      <c r="I23" s="122"/>
      <c r="J23" s="21"/>
      <c r="K23" s="20"/>
      <c r="L23" s="22">
        <f t="shared" si="0"/>
        <v>0</v>
      </c>
    </row>
    <row r="24" spans="2:12" s="14" customFormat="1" ht="15" customHeight="1" x14ac:dyDescent="0.3">
      <c r="B24" s="139"/>
      <c r="C24" s="122"/>
      <c r="D24" s="122"/>
      <c r="E24" s="122"/>
      <c r="F24" s="122"/>
      <c r="G24" s="122"/>
      <c r="H24" s="122"/>
      <c r="I24" s="122"/>
      <c r="J24" s="21"/>
      <c r="K24" s="20"/>
      <c r="L24" s="22">
        <f t="shared" si="0"/>
        <v>0</v>
      </c>
    </row>
    <row r="25" spans="2:12" s="14" customFormat="1" ht="15" customHeight="1" x14ac:dyDescent="0.3">
      <c r="B25" s="139"/>
      <c r="C25" s="122"/>
      <c r="D25" s="122"/>
      <c r="E25" s="122"/>
      <c r="F25" s="122"/>
      <c r="G25" s="122"/>
      <c r="H25" s="122"/>
      <c r="I25" s="122"/>
      <c r="J25" s="21"/>
      <c r="K25" s="20"/>
      <c r="L25" s="22">
        <f t="shared" si="0"/>
        <v>0</v>
      </c>
    </row>
    <row r="26" spans="2:12" s="14" customFormat="1" ht="15" customHeight="1" x14ac:dyDescent="0.3">
      <c r="B26" s="139"/>
      <c r="C26" s="122"/>
      <c r="D26" s="122"/>
      <c r="E26" s="122"/>
      <c r="F26" s="122"/>
      <c r="G26" s="122"/>
      <c r="H26" s="122"/>
      <c r="I26" s="122"/>
      <c r="J26" s="21"/>
      <c r="K26" s="20"/>
      <c r="L26" s="22">
        <f t="shared" si="0"/>
        <v>0</v>
      </c>
    </row>
    <row r="27" spans="2:12" s="14" customFormat="1" ht="15" customHeight="1" x14ac:dyDescent="0.3">
      <c r="B27" s="139"/>
      <c r="C27" s="122"/>
      <c r="D27" s="122"/>
      <c r="E27" s="122"/>
      <c r="F27" s="122"/>
      <c r="G27" s="122"/>
      <c r="H27" s="122"/>
      <c r="I27" s="122"/>
      <c r="J27" s="21"/>
      <c r="K27" s="20"/>
      <c r="L27" s="22">
        <f t="shared" si="0"/>
        <v>0</v>
      </c>
    </row>
    <row r="28" spans="2:12" s="14" customFormat="1" ht="15" customHeight="1" x14ac:dyDescent="0.3">
      <c r="B28" s="139"/>
      <c r="C28" s="122"/>
      <c r="D28" s="122"/>
      <c r="E28" s="122"/>
      <c r="F28" s="122"/>
      <c r="G28" s="122"/>
      <c r="H28" s="122"/>
      <c r="I28" s="122"/>
      <c r="J28" s="21"/>
      <c r="K28" s="20"/>
      <c r="L28" s="22">
        <f t="shared" si="0"/>
        <v>0</v>
      </c>
    </row>
    <row r="29" spans="2:12" s="14" customFormat="1" ht="15" customHeight="1" x14ac:dyDescent="0.3">
      <c r="B29" s="139"/>
      <c r="C29" s="122"/>
      <c r="D29" s="122"/>
      <c r="E29" s="122"/>
      <c r="F29" s="122"/>
      <c r="G29" s="122"/>
      <c r="H29" s="122"/>
      <c r="I29" s="122"/>
      <c r="J29" s="21"/>
      <c r="K29" s="20"/>
      <c r="L29" s="22">
        <f t="shared" si="0"/>
        <v>0</v>
      </c>
    </row>
    <row r="30" spans="2:12" s="14" customFormat="1" ht="15" customHeight="1" x14ac:dyDescent="0.3">
      <c r="B30" s="139"/>
      <c r="C30" s="122"/>
      <c r="D30" s="122"/>
      <c r="E30" s="122"/>
      <c r="F30" s="122"/>
      <c r="G30" s="122"/>
      <c r="H30" s="122"/>
      <c r="I30" s="122"/>
      <c r="J30" s="21"/>
      <c r="K30" s="20"/>
      <c r="L30" s="22">
        <f t="shared" si="0"/>
        <v>0</v>
      </c>
    </row>
    <row r="31" spans="2:12" s="14" customFormat="1" ht="15" customHeight="1" x14ac:dyDescent="0.3">
      <c r="B31" s="139"/>
      <c r="C31" s="122"/>
      <c r="D31" s="122"/>
      <c r="E31" s="122"/>
      <c r="F31" s="122"/>
      <c r="G31" s="122"/>
      <c r="H31" s="122"/>
      <c r="I31" s="122"/>
      <c r="J31" s="21"/>
      <c r="K31" s="20"/>
      <c r="L31" s="22">
        <f t="shared" si="0"/>
        <v>0</v>
      </c>
    </row>
    <row r="32" spans="2:12" s="14" customFormat="1" ht="15" customHeight="1" x14ac:dyDescent="0.3">
      <c r="B32" s="139"/>
      <c r="C32" s="122"/>
      <c r="D32" s="122"/>
      <c r="E32" s="122"/>
      <c r="F32" s="122"/>
      <c r="G32" s="122"/>
      <c r="H32" s="122"/>
      <c r="I32" s="122"/>
      <c r="J32" s="21"/>
      <c r="K32" s="20"/>
      <c r="L32" s="22">
        <f t="shared" si="0"/>
        <v>0</v>
      </c>
    </row>
    <row r="33" spans="2:12" s="14" customFormat="1" ht="15" customHeight="1" x14ac:dyDescent="0.3">
      <c r="B33" s="139"/>
      <c r="C33" s="122"/>
      <c r="D33" s="122"/>
      <c r="E33" s="122"/>
      <c r="F33" s="122"/>
      <c r="G33" s="122"/>
      <c r="H33" s="122"/>
      <c r="I33" s="122"/>
      <c r="J33" s="21"/>
      <c r="K33" s="20"/>
      <c r="L33" s="22">
        <f t="shared" si="0"/>
        <v>0</v>
      </c>
    </row>
    <row r="34" spans="2:12" s="14" customFormat="1" ht="15" customHeight="1" x14ac:dyDescent="0.3">
      <c r="B34" s="139"/>
      <c r="C34" s="122"/>
      <c r="D34" s="122"/>
      <c r="E34" s="122"/>
      <c r="F34" s="122"/>
      <c r="G34" s="122"/>
      <c r="H34" s="122"/>
      <c r="I34" s="122"/>
      <c r="J34" s="21"/>
      <c r="K34" s="20"/>
      <c r="L34" s="22">
        <f t="shared" si="0"/>
        <v>0</v>
      </c>
    </row>
    <row r="35" spans="2:12" s="14" customFormat="1" ht="15" customHeight="1" x14ac:dyDescent="0.3">
      <c r="B35" s="139"/>
      <c r="C35" s="122"/>
      <c r="D35" s="122"/>
      <c r="E35" s="122"/>
      <c r="F35" s="122"/>
      <c r="G35" s="122"/>
      <c r="H35" s="122"/>
      <c r="I35" s="122"/>
      <c r="J35" s="21"/>
      <c r="K35" s="20"/>
      <c r="L35" s="22">
        <f t="shared" si="0"/>
        <v>0</v>
      </c>
    </row>
    <row r="36" spans="2:12" s="14" customFormat="1" ht="15" customHeight="1" x14ac:dyDescent="0.3">
      <c r="B36" s="139"/>
      <c r="C36" s="122"/>
      <c r="D36" s="122"/>
      <c r="E36" s="122"/>
      <c r="F36" s="122"/>
      <c r="G36" s="122"/>
      <c r="H36" s="122"/>
      <c r="I36" s="122"/>
      <c r="J36" s="21"/>
      <c r="K36" s="20"/>
      <c r="L36" s="22">
        <f t="shared" si="0"/>
        <v>0</v>
      </c>
    </row>
    <row r="37" spans="2:12" s="14" customFormat="1" ht="15" customHeight="1" x14ac:dyDescent="0.3">
      <c r="B37" s="139"/>
      <c r="C37" s="122"/>
      <c r="D37" s="122"/>
      <c r="E37" s="122"/>
      <c r="F37" s="122"/>
      <c r="G37" s="122"/>
      <c r="H37" s="122"/>
      <c r="I37" s="122"/>
      <c r="J37" s="21"/>
      <c r="K37" s="20"/>
      <c r="L37" s="22">
        <f t="shared" si="0"/>
        <v>0</v>
      </c>
    </row>
    <row r="38" spans="2:12" s="14" customFormat="1" ht="15" customHeight="1" x14ac:dyDescent="0.3">
      <c r="B38" s="139"/>
      <c r="C38" s="122"/>
      <c r="D38" s="122"/>
      <c r="E38" s="122"/>
      <c r="F38" s="122"/>
      <c r="G38" s="122"/>
      <c r="H38" s="122"/>
      <c r="I38" s="122"/>
      <c r="J38" s="21"/>
      <c r="K38" s="20"/>
      <c r="L38" s="22">
        <f t="shared" si="0"/>
        <v>0</v>
      </c>
    </row>
    <row r="39" spans="2:12" s="14" customFormat="1" ht="15" customHeight="1" x14ac:dyDescent="0.3">
      <c r="B39" s="139"/>
      <c r="C39" s="122"/>
      <c r="D39" s="122"/>
      <c r="E39" s="122"/>
      <c r="F39" s="122"/>
      <c r="G39" s="122"/>
      <c r="H39" s="122"/>
      <c r="I39" s="122"/>
      <c r="J39" s="21"/>
      <c r="K39" s="20"/>
      <c r="L39" s="22">
        <f t="shared" si="0"/>
        <v>0</v>
      </c>
    </row>
    <row r="40" spans="2:12" s="17" customFormat="1" ht="19.95" customHeight="1" x14ac:dyDescent="0.3">
      <c r="B40" s="143" t="s">
        <v>16</v>
      </c>
      <c r="C40" s="144"/>
      <c r="D40" s="144"/>
      <c r="E40" s="144"/>
      <c r="F40" s="144"/>
      <c r="G40" s="144"/>
      <c r="H40" s="144"/>
      <c r="I40" s="144"/>
      <c r="J40" s="144"/>
      <c r="K40" s="144"/>
      <c r="L40" s="35">
        <f>SUM(L17:L39)</f>
        <v>0</v>
      </c>
    </row>
    <row r="41" spans="2:12" s="17" customFormat="1" ht="19.95" customHeight="1" x14ac:dyDescent="0.3">
      <c r="B41" s="134" t="s">
        <v>43</v>
      </c>
      <c r="C41" s="135"/>
      <c r="D41" s="135"/>
      <c r="E41" s="135"/>
      <c r="F41" s="135"/>
      <c r="G41" s="135"/>
      <c r="H41" s="135"/>
      <c r="I41" s="135"/>
      <c r="J41" s="135"/>
      <c r="K41" s="53">
        <v>6.5000000000000002E-2</v>
      </c>
      <c r="L41" s="36">
        <f>L40*K41</f>
        <v>0</v>
      </c>
    </row>
    <row r="42" spans="2:12" s="16" customFormat="1" ht="19.95" customHeight="1" thickBot="1" x14ac:dyDescent="0.35">
      <c r="B42" s="123" t="s">
        <v>17</v>
      </c>
      <c r="C42" s="124"/>
      <c r="D42" s="124"/>
      <c r="E42" s="124"/>
      <c r="F42" s="124"/>
      <c r="G42" s="124"/>
      <c r="H42" s="124"/>
      <c r="I42" s="124"/>
      <c r="J42" s="124"/>
      <c r="K42" s="124"/>
      <c r="L42" s="37">
        <f>SUM(L40:L41)</f>
        <v>0</v>
      </c>
    </row>
    <row r="43" spans="2:12" ht="4.95" customHeight="1" thickBot="1" x14ac:dyDescent="0.35"/>
    <row r="44" spans="2:12" s="15" customFormat="1" ht="25.05" customHeight="1" x14ac:dyDescent="0.3">
      <c r="B44" s="136" t="s">
        <v>31</v>
      </c>
      <c r="C44" s="137"/>
      <c r="D44" s="137"/>
      <c r="E44" s="137"/>
      <c r="F44" s="137"/>
      <c r="G44" s="137"/>
      <c r="H44" s="137"/>
      <c r="I44" s="137"/>
      <c r="J44" s="137"/>
      <c r="K44" s="137"/>
      <c r="L44" s="138"/>
    </row>
    <row r="45" spans="2:12" s="2" customFormat="1" ht="15" customHeight="1" x14ac:dyDescent="0.3">
      <c r="B45" s="140" t="s">
        <v>13</v>
      </c>
      <c r="C45" s="141"/>
      <c r="D45" s="141"/>
      <c r="E45" s="141"/>
      <c r="F45" s="141"/>
      <c r="G45" s="141"/>
      <c r="H45" s="141"/>
      <c r="I45" s="142"/>
      <c r="J45" s="18" t="s">
        <v>14</v>
      </c>
      <c r="K45" s="18" t="s">
        <v>15</v>
      </c>
      <c r="L45" s="19" t="s">
        <v>1</v>
      </c>
    </row>
    <row r="46" spans="2:12" s="14" customFormat="1" ht="15" customHeight="1" x14ac:dyDescent="0.3">
      <c r="B46" s="139" t="s">
        <v>66</v>
      </c>
      <c r="C46" s="122"/>
      <c r="D46" s="122"/>
      <c r="E46" s="122"/>
      <c r="F46" s="122"/>
      <c r="G46" s="122"/>
      <c r="H46" s="122"/>
      <c r="I46" s="122"/>
      <c r="J46" s="21"/>
      <c r="K46" s="20"/>
      <c r="L46" s="22">
        <f t="shared" ref="L46:L57" si="1">J46*K46</f>
        <v>0</v>
      </c>
    </row>
    <row r="47" spans="2:12" s="14" customFormat="1" ht="15" customHeight="1" x14ac:dyDescent="0.3">
      <c r="B47" s="139"/>
      <c r="C47" s="122"/>
      <c r="D47" s="122"/>
      <c r="E47" s="122"/>
      <c r="F47" s="122"/>
      <c r="G47" s="122"/>
      <c r="H47" s="122"/>
      <c r="I47" s="122"/>
      <c r="J47" s="21"/>
      <c r="K47" s="20"/>
      <c r="L47" s="22">
        <f t="shared" si="1"/>
        <v>0</v>
      </c>
    </row>
    <row r="48" spans="2:12" s="14" customFormat="1" ht="15" customHeight="1" x14ac:dyDescent="0.3">
      <c r="B48" s="139"/>
      <c r="C48" s="122"/>
      <c r="D48" s="122"/>
      <c r="E48" s="122"/>
      <c r="F48" s="122"/>
      <c r="G48" s="122"/>
      <c r="H48" s="122"/>
      <c r="I48" s="122"/>
      <c r="J48" s="21"/>
      <c r="K48" s="20"/>
      <c r="L48" s="22">
        <f t="shared" si="1"/>
        <v>0</v>
      </c>
    </row>
    <row r="49" spans="2:12" s="14" customFormat="1" ht="15" customHeight="1" x14ac:dyDescent="0.3">
      <c r="B49" s="139"/>
      <c r="C49" s="122"/>
      <c r="D49" s="122"/>
      <c r="E49" s="122"/>
      <c r="F49" s="122"/>
      <c r="G49" s="122"/>
      <c r="H49" s="122"/>
      <c r="I49" s="122"/>
      <c r="J49" s="21"/>
      <c r="K49" s="20"/>
      <c r="L49" s="22">
        <f t="shared" si="1"/>
        <v>0</v>
      </c>
    </row>
    <row r="50" spans="2:12" s="14" customFormat="1" ht="15" customHeight="1" x14ac:dyDescent="0.3">
      <c r="B50" s="139"/>
      <c r="C50" s="122"/>
      <c r="D50" s="122"/>
      <c r="E50" s="122"/>
      <c r="F50" s="122"/>
      <c r="G50" s="122"/>
      <c r="H50" s="122"/>
      <c r="I50" s="122"/>
      <c r="J50" s="21"/>
      <c r="K50" s="20"/>
      <c r="L50" s="22">
        <f t="shared" si="1"/>
        <v>0</v>
      </c>
    </row>
    <row r="51" spans="2:12" s="14" customFormat="1" ht="15" customHeight="1" x14ac:dyDescent="0.3">
      <c r="B51" s="139"/>
      <c r="C51" s="122"/>
      <c r="D51" s="122"/>
      <c r="E51" s="122"/>
      <c r="F51" s="122"/>
      <c r="G51" s="122"/>
      <c r="H51" s="122"/>
      <c r="I51" s="122"/>
      <c r="J51" s="21"/>
      <c r="K51" s="20"/>
      <c r="L51" s="22">
        <f t="shared" si="1"/>
        <v>0</v>
      </c>
    </row>
    <row r="52" spans="2:12" s="14" customFormat="1" ht="15" customHeight="1" x14ac:dyDescent="0.3">
      <c r="B52" s="139"/>
      <c r="C52" s="122"/>
      <c r="D52" s="122"/>
      <c r="E52" s="122"/>
      <c r="F52" s="122"/>
      <c r="G52" s="122"/>
      <c r="H52" s="122"/>
      <c r="I52" s="122"/>
      <c r="J52" s="21"/>
      <c r="K52" s="20"/>
      <c r="L52" s="22">
        <f t="shared" si="1"/>
        <v>0</v>
      </c>
    </row>
    <row r="53" spans="2:12" s="14" customFormat="1" ht="15" customHeight="1" x14ac:dyDescent="0.3">
      <c r="B53" s="139"/>
      <c r="C53" s="122"/>
      <c r="D53" s="122"/>
      <c r="E53" s="122"/>
      <c r="F53" s="122"/>
      <c r="G53" s="122"/>
      <c r="H53" s="122"/>
      <c r="I53" s="122"/>
      <c r="J53" s="21"/>
      <c r="K53" s="20"/>
      <c r="L53" s="22">
        <f t="shared" si="1"/>
        <v>0</v>
      </c>
    </row>
    <row r="54" spans="2:12" s="14" customFormat="1" ht="15" customHeight="1" x14ac:dyDescent="0.3">
      <c r="B54" s="139"/>
      <c r="C54" s="122"/>
      <c r="D54" s="122"/>
      <c r="E54" s="122"/>
      <c r="F54" s="122"/>
      <c r="G54" s="122"/>
      <c r="H54" s="122"/>
      <c r="I54" s="122"/>
      <c r="J54" s="21"/>
      <c r="K54" s="20"/>
      <c r="L54" s="22">
        <f t="shared" si="1"/>
        <v>0</v>
      </c>
    </row>
    <row r="55" spans="2:12" s="14" customFormat="1" ht="15" customHeight="1" x14ac:dyDescent="0.3">
      <c r="B55" s="139"/>
      <c r="C55" s="122"/>
      <c r="D55" s="122"/>
      <c r="E55" s="122"/>
      <c r="F55" s="122"/>
      <c r="G55" s="122"/>
      <c r="H55" s="122"/>
      <c r="I55" s="122"/>
      <c r="J55" s="21"/>
      <c r="K55" s="20"/>
      <c r="L55" s="22">
        <f t="shared" si="1"/>
        <v>0</v>
      </c>
    </row>
    <row r="56" spans="2:12" s="14" customFormat="1" ht="15" customHeight="1" x14ac:dyDescent="0.3">
      <c r="B56" s="139"/>
      <c r="C56" s="122"/>
      <c r="D56" s="122"/>
      <c r="E56" s="122"/>
      <c r="F56" s="122"/>
      <c r="G56" s="122"/>
      <c r="H56" s="122"/>
      <c r="I56" s="122"/>
      <c r="J56" s="21"/>
      <c r="K56" s="20"/>
      <c r="L56" s="22">
        <f t="shared" si="1"/>
        <v>0</v>
      </c>
    </row>
    <row r="57" spans="2:12" s="14" customFormat="1" ht="15" customHeight="1" x14ac:dyDescent="0.3">
      <c r="B57" s="139"/>
      <c r="C57" s="122"/>
      <c r="D57" s="122"/>
      <c r="E57" s="122"/>
      <c r="F57" s="122"/>
      <c r="G57" s="122"/>
      <c r="H57" s="122"/>
      <c r="I57" s="122"/>
      <c r="J57" s="21"/>
      <c r="K57" s="20"/>
      <c r="L57" s="22">
        <f t="shared" si="1"/>
        <v>0</v>
      </c>
    </row>
    <row r="58" spans="2:12" s="16" customFormat="1" ht="19.95" customHeight="1" thickBot="1" x14ac:dyDescent="0.35">
      <c r="B58" s="123" t="s">
        <v>32</v>
      </c>
      <c r="C58" s="124"/>
      <c r="D58" s="124"/>
      <c r="E58" s="124"/>
      <c r="F58" s="124"/>
      <c r="G58" s="124"/>
      <c r="H58" s="124"/>
      <c r="I58" s="124"/>
      <c r="J58" s="124"/>
      <c r="K58" s="124"/>
      <c r="L58" s="37">
        <f>SUM(L46:L57)</f>
        <v>0</v>
      </c>
    </row>
    <row r="59" spans="2:12" ht="4.95" customHeight="1" thickBot="1" x14ac:dyDescent="0.35"/>
    <row r="60" spans="2:12" s="17" customFormat="1" ht="19.95" customHeight="1" x14ac:dyDescent="0.3">
      <c r="B60" s="125" t="s">
        <v>33</v>
      </c>
      <c r="C60" s="126"/>
      <c r="D60" s="126"/>
      <c r="E60" s="126"/>
      <c r="F60" s="126"/>
      <c r="G60" s="126"/>
      <c r="H60" s="126"/>
      <c r="I60" s="126"/>
      <c r="J60" s="126"/>
      <c r="K60" s="126"/>
      <c r="L60" s="46">
        <f>L42+L58</f>
        <v>0</v>
      </c>
    </row>
    <row r="61" spans="2:12" s="17" customFormat="1" ht="19.95" customHeight="1" x14ac:dyDescent="0.3">
      <c r="B61" s="127" t="s">
        <v>34</v>
      </c>
      <c r="C61" s="128"/>
      <c r="D61" s="128"/>
      <c r="E61" s="128"/>
      <c r="F61" s="128"/>
      <c r="G61" s="128"/>
      <c r="H61" s="128"/>
      <c r="I61" s="128"/>
      <c r="J61" s="128"/>
      <c r="K61" s="128"/>
      <c r="L61" s="66">
        <v>0</v>
      </c>
    </row>
    <row r="62" spans="2:12" s="17" customFormat="1" ht="19.95" customHeight="1" thickBot="1" x14ac:dyDescent="0.35">
      <c r="B62" s="129" t="s">
        <v>40</v>
      </c>
      <c r="C62" s="130"/>
      <c r="D62" s="130"/>
      <c r="E62" s="130"/>
      <c r="F62" s="130"/>
      <c r="G62" s="130"/>
      <c r="H62" s="130"/>
      <c r="I62" s="130"/>
      <c r="J62" s="130"/>
      <c r="K62" s="130"/>
      <c r="L62" s="38">
        <f>L60+L60*L61</f>
        <v>0</v>
      </c>
    </row>
    <row r="63" spans="2:12" ht="4.95" customHeight="1" thickBot="1" x14ac:dyDescent="0.35"/>
    <row r="64" spans="2:12" s="39" customFormat="1" ht="25.05" customHeight="1" x14ac:dyDescent="0.3">
      <c r="B64" s="131" t="s">
        <v>35</v>
      </c>
      <c r="C64" s="132"/>
      <c r="D64" s="132"/>
      <c r="E64" s="132"/>
      <c r="F64" s="132"/>
      <c r="G64" s="132"/>
      <c r="H64" s="132"/>
      <c r="I64" s="132"/>
      <c r="J64" s="132"/>
      <c r="K64" s="132"/>
      <c r="L64" s="133"/>
    </row>
    <row r="65" spans="2:13" s="43" customFormat="1" ht="19.95" customHeight="1" x14ac:dyDescent="0.3">
      <c r="B65" s="117"/>
      <c r="C65" s="118"/>
      <c r="D65" s="118"/>
      <c r="E65" s="119"/>
      <c r="F65" s="120"/>
      <c r="G65" s="120"/>
      <c r="H65" s="120"/>
      <c r="I65" s="120"/>
      <c r="J65" s="120"/>
      <c r="K65" s="121"/>
      <c r="L65" s="44"/>
    </row>
    <row r="66" spans="2:13" s="43" customFormat="1" ht="19.95" customHeight="1" x14ac:dyDescent="0.3">
      <c r="B66" s="117"/>
      <c r="C66" s="118"/>
      <c r="D66" s="118"/>
      <c r="E66" s="119"/>
      <c r="F66" s="120"/>
      <c r="G66" s="120"/>
      <c r="H66" s="120"/>
      <c r="I66" s="120"/>
      <c r="J66" s="120"/>
      <c r="K66" s="121"/>
      <c r="L66" s="44"/>
    </row>
    <row r="67" spans="2:13" s="43" customFormat="1" ht="19.95" customHeight="1" x14ac:dyDescent="0.3">
      <c r="B67" s="117"/>
      <c r="C67" s="118"/>
      <c r="D67" s="118"/>
      <c r="E67" s="119"/>
      <c r="F67" s="120"/>
      <c r="G67" s="120"/>
      <c r="H67" s="120"/>
      <c r="I67" s="120"/>
      <c r="J67" s="120"/>
      <c r="K67" s="121"/>
      <c r="L67" s="44"/>
    </row>
    <row r="68" spans="2:13" s="43" customFormat="1" ht="19.8" customHeight="1" x14ac:dyDescent="0.3">
      <c r="B68" s="117"/>
      <c r="C68" s="118"/>
      <c r="D68" s="118"/>
      <c r="E68" s="119"/>
      <c r="F68" s="120"/>
      <c r="G68" s="120"/>
      <c r="H68" s="120"/>
      <c r="I68" s="120"/>
      <c r="J68" s="120"/>
      <c r="K68" s="121"/>
      <c r="L68" s="44"/>
    </row>
    <row r="69" spans="2:13" s="43" customFormat="1" ht="19.95" customHeight="1" x14ac:dyDescent="0.3">
      <c r="B69" s="117"/>
      <c r="C69" s="118"/>
      <c r="D69" s="118"/>
      <c r="E69" s="119"/>
      <c r="F69" s="120"/>
      <c r="G69" s="120"/>
      <c r="H69" s="120"/>
      <c r="I69" s="120"/>
      <c r="J69" s="120"/>
      <c r="K69" s="121"/>
      <c r="L69" s="44"/>
    </row>
    <row r="70" spans="2:13" s="43" customFormat="1" ht="19.95" customHeight="1" x14ac:dyDescent="0.3">
      <c r="B70" s="117"/>
      <c r="C70" s="118"/>
      <c r="D70" s="118"/>
      <c r="E70" s="119"/>
      <c r="F70" s="120"/>
      <c r="G70" s="120"/>
      <c r="H70" s="120"/>
      <c r="I70" s="120"/>
      <c r="J70" s="120"/>
      <c r="K70" s="121"/>
      <c r="L70" s="44"/>
    </row>
    <row r="71" spans="2:13" s="43" customFormat="1" ht="19.95" customHeight="1" x14ac:dyDescent="0.3">
      <c r="B71" s="117"/>
      <c r="C71" s="118"/>
      <c r="D71" s="118"/>
      <c r="E71" s="119"/>
      <c r="F71" s="120"/>
      <c r="G71" s="120"/>
      <c r="H71" s="120"/>
      <c r="I71" s="120"/>
      <c r="J71" s="120"/>
      <c r="K71" s="121"/>
      <c r="L71" s="44"/>
    </row>
    <row r="72" spans="2:13" s="43" customFormat="1" ht="19.8" customHeight="1" x14ac:dyDescent="0.3">
      <c r="B72" s="117"/>
      <c r="C72" s="118"/>
      <c r="D72" s="118"/>
      <c r="E72" s="119"/>
      <c r="F72" s="120"/>
      <c r="G72" s="120"/>
      <c r="H72" s="120"/>
      <c r="I72" s="120"/>
      <c r="J72" s="120"/>
      <c r="K72" s="121"/>
      <c r="L72" s="44"/>
    </row>
    <row r="73" spans="2:13" s="43" customFormat="1" ht="19.95" customHeight="1" x14ac:dyDescent="0.3">
      <c r="B73" s="117"/>
      <c r="C73" s="118"/>
      <c r="D73" s="118"/>
      <c r="E73" s="119"/>
      <c r="F73" s="120"/>
      <c r="G73" s="120"/>
      <c r="H73" s="120"/>
      <c r="I73" s="120"/>
      <c r="J73" s="120"/>
      <c r="K73" s="121"/>
      <c r="L73" s="44"/>
    </row>
    <row r="74" spans="2:13" s="39" customFormat="1" ht="25.05" customHeight="1" thickBot="1" x14ac:dyDescent="0.35">
      <c r="B74" s="104" t="s">
        <v>42</v>
      </c>
      <c r="C74" s="105"/>
      <c r="D74" s="105"/>
      <c r="E74" s="105"/>
      <c r="F74" s="105"/>
      <c r="G74" s="105"/>
      <c r="H74" s="105"/>
      <c r="I74" s="105"/>
      <c r="J74" s="105"/>
      <c r="K74" s="105"/>
      <c r="L74" s="54">
        <f>SUM(L65:L73)</f>
        <v>0</v>
      </c>
    </row>
    <row r="75" spans="2:13" s="39" customFormat="1" ht="30" customHeight="1" thickBot="1" x14ac:dyDescent="0.35">
      <c r="B75" s="106" t="s">
        <v>4</v>
      </c>
      <c r="C75" s="107"/>
      <c r="D75" s="107"/>
      <c r="E75" s="107"/>
      <c r="F75" s="107"/>
      <c r="G75" s="107"/>
      <c r="H75" s="107"/>
      <c r="I75" s="107"/>
      <c r="J75" s="107"/>
      <c r="K75" s="107"/>
      <c r="L75" s="45">
        <f>L62-SUM(L65:L73)</f>
        <v>0</v>
      </c>
    </row>
    <row r="76" spans="2:13" s="4" customFormat="1" ht="14.85" customHeight="1" thickBot="1" x14ac:dyDescent="0.4">
      <c r="B76" s="5"/>
      <c r="C76" s="5"/>
      <c r="D76" s="5"/>
      <c r="E76" s="5"/>
      <c r="F76" s="5"/>
      <c r="G76" s="5"/>
      <c r="H76" s="5"/>
      <c r="I76" s="5"/>
      <c r="L76" s="42"/>
      <c r="M76" s="42"/>
    </row>
    <row r="77" spans="2:13" s="47" customFormat="1" ht="49.95" customHeight="1" x14ac:dyDescent="0.3">
      <c r="B77" s="108" t="s">
        <v>47</v>
      </c>
      <c r="C77" s="109"/>
      <c r="D77" s="109"/>
      <c r="E77" s="109"/>
      <c r="F77" s="109"/>
      <c r="G77" s="109"/>
      <c r="H77" s="109"/>
      <c r="I77" s="109"/>
      <c r="J77" s="109"/>
      <c r="K77" s="109"/>
      <c r="L77" s="110"/>
      <c r="M77" s="48"/>
    </row>
    <row r="78" spans="2:13" s="67" customFormat="1" ht="19.95" customHeight="1" x14ac:dyDescent="0.3">
      <c r="B78" s="114"/>
      <c r="C78" s="115"/>
      <c r="D78" s="115"/>
      <c r="E78" s="115"/>
      <c r="F78" s="115"/>
      <c r="G78" s="115"/>
      <c r="H78" s="115"/>
      <c r="I78" s="115"/>
      <c r="J78" s="115"/>
      <c r="K78" s="115"/>
      <c r="L78" s="116"/>
      <c r="M78" s="68"/>
    </row>
    <row r="79" spans="2:13" s="67" customFormat="1" ht="19.95" customHeight="1" x14ac:dyDescent="0.3">
      <c r="B79" s="114"/>
      <c r="C79" s="115"/>
      <c r="D79" s="115"/>
      <c r="E79" s="115"/>
      <c r="F79" s="115"/>
      <c r="G79" s="115"/>
      <c r="H79" s="115"/>
      <c r="I79" s="115"/>
      <c r="J79" s="115"/>
      <c r="K79" s="115"/>
      <c r="L79" s="116"/>
      <c r="M79" s="68"/>
    </row>
    <row r="80" spans="2:13" s="67" customFormat="1" ht="19.95" customHeight="1" x14ac:dyDescent="0.3">
      <c r="B80" s="114"/>
      <c r="C80" s="115"/>
      <c r="D80" s="115"/>
      <c r="E80" s="115"/>
      <c r="F80" s="115"/>
      <c r="G80" s="115"/>
      <c r="H80" s="115"/>
      <c r="I80" s="115"/>
      <c r="J80" s="115"/>
      <c r="K80" s="115"/>
      <c r="L80" s="116"/>
      <c r="M80" s="68"/>
    </row>
    <row r="81" spans="2:13" s="67" customFormat="1" ht="19.95" customHeight="1" x14ac:dyDescent="0.3">
      <c r="B81" s="114"/>
      <c r="C81" s="115"/>
      <c r="D81" s="115"/>
      <c r="E81" s="115"/>
      <c r="F81" s="115"/>
      <c r="G81" s="115"/>
      <c r="H81" s="115"/>
      <c r="I81" s="115"/>
      <c r="J81" s="115"/>
      <c r="K81" s="115"/>
      <c r="L81" s="116"/>
      <c r="M81" s="68"/>
    </row>
    <row r="82" spans="2:13" s="67" customFormat="1" ht="19.95" customHeight="1" x14ac:dyDescent="0.3">
      <c r="B82" s="114"/>
      <c r="C82" s="115"/>
      <c r="D82" s="115"/>
      <c r="E82" s="115"/>
      <c r="F82" s="115"/>
      <c r="G82" s="115"/>
      <c r="H82" s="115"/>
      <c r="I82" s="115"/>
      <c r="J82" s="115"/>
      <c r="K82" s="115"/>
      <c r="L82" s="116"/>
      <c r="M82" s="68"/>
    </row>
    <row r="83" spans="2:13" s="51" customFormat="1" ht="25.05" customHeight="1" thickBot="1" x14ac:dyDescent="0.35">
      <c r="B83" s="94"/>
      <c r="C83" s="95"/>
      <c r="D83" s="95"/>
      <c r="E83" s="95"/>
      <c r="F83" s="95"/>
      <c r="G83" s="95"/>
      <c r="H83" s="95"/>
      <c r="I83" s="95"/>
      <c r="J83" s="95"/>
      <c r="K83" s="95"/>
      <c r="L83" s="96"/>
      <c r="M83" s="52"/>
    </row>
    <row r="84" spans="2:13" s="4" customFormat="1" ht="14.85" customHeight="1" thickBot="1" x14ac:dyDescent="0.4">
      <c r="B84" s="5"/>
      <c r="C84" s="5"/>
      <c r="D84" s="5"/>
      <c r="E84" s="5"/>
      <c r="F84" s="5"/>
      <c r="G84" s="5"/>
      <c r="H84" s="5"/>
      <c r="I84" s="5"/>
      <c r="L84" s="42"/>
      <c r="M84" s="42"/>
    </row>
    <row r="85" spans="2:13" s="47" customFormat="1" ht="49.95" customHeight="1" x14ac:dyDescent="0.3">
      <c r="B85" s="108" t="s">
        <v>37</v>
      </c>
      <c r="C85" s="109"/>
      <c r="D85" s="109"/>
      <c r="E85" s="109"/>
      <c r="F85" s="109"/>
      <c r="G85" s="110"/>
      <c r="H85" s="108" t="s">
        <v>36</v>
      </c>
      <c r="I85" s="109"/>
      <c r="J85" s="109"/>
      <c r="K85" s="109"/>
      <c r="L85" s="110"/>
      <c r="M85" s="48"/>
    </row>
    <row r="86" spans="2:13" s="49" customFormat="1" ht="30" customHeight="1" x14ac:dyDescent="0.5">
      <c r="B86" s="111" t="s">
        <v>67</v>
      </c>
      <c r="C86" s="112"/>
      <c r="D86" s="112"/>
      <c r="E86" s="112"/>
      <c r="F86" s="112"/>
      <c r="G86" s="113"/>
      <c r="H86" s="111" t="s">
        <v>39</v>
      </c>
      <c r="I86" s="112"/>
      <c r="J86" s="112"/>
      <c r="K86" s="112"/>
      <c r="L86" s="113"/>
      <c r="M86" s="50"/>
    </row>
    <row r="87" spans="2:13" s="51" customFormat="1" ht="25.05" customHeight="1" thickBot="1" x14ac:dyDescent="0.35">
      <c r="B87" s="94"/>
      <c r="C87" s="95"/>
      <c r="D87" s="95"/>
      <c r="E87" s="95"/>
      <c r="F87" s="95"/>
      <c r="G87" s="96"/>
      <c r="H87" s="94" t="s">
        <v>38</v>
      </c>
      <c r="I87" s="95"/>
      <c r="J87" s="95"/>
      <c r="K87" s="95"/>
      <c r="L87" s="96"/>
      <c r="M87" s="52"/>
    </row>
    <row r="89" spans="2:13" s="61" customFormat="1" ht="4.95" customHeight="1" x14ac:dyDescent="0.3">
      <c r="C89" s="62"/>
      <c r="I89" s="63"/>
      <c r="L89" s="64"/>
      <c r="M89" s="64"/>
    </row>
    <row r="90" spans="2:13" ht="14.85" customHeight="1" thickBot="1" x14ac:dyDescent="0.35"/>
    <row r="91" spans="2:13" s="10" customFormat="1" ht="25.05" customHeight="1" x14ac:dyDescent="0.3">
      <c r="B91" s="97" t="s">
        <v>44</v>
      </c>
      <c r="C91" s="98"/>
      <c r="D91" s="98"/>
      <c r="E91" s="98"/>
      <c r="F91" s="98"/>
      <c r="G91" s="98"/>
      <c r="H91" s="98"/>
      <c r="I91" s="98"/>
      <c r="J91" s="98"/>
      <c r="K91" s="98"/>
      <c r="L91" s="99"/>
    </row>
    <row r="92" spans="2:13" s="57" customFormat="1" ht="25.05" customHeight="1" x14ac:dyDescent="0.3">
      <c r="B92" s="100" t="s">
        <v>2</v>
      </c>
      <c r="C92" s="101"/>
      <c r="D92" s="58" t="s">
        <v>6</v>
      </c>
      <c r="E92" s="101" t="s">
        <v>0</v>
      </c>
      <c r="F92" s="101"/>
      <c r="G92" s="59" t="s">
        <v>5</v>
      </c>
      <c r="H92" s="102" t="s">
        <v>3</v>
      </c>
      <c r="I92" s="102"/>
      <c r="J92" s="58" t="s">
        <v>2</v>
      </c>
      <c r="K92" s="102" t="s">
        <v>3</v>
      </c>
      <c r="L92" s="103"/>
    </row>
    <row r="93" spans="2:13" s="6" customFormat="1" ht="14.85" customHeight="1" x14ac:dyDescent="0.3">
      <c r="B93" s="79">
        <v>46142</v>
      </c>
      <c r="C93" s="80"/>
      <c r="D93" s="7" t="s">
        <v>46</v>
      </c>
      <c r="E93" s="91" t="s">
        <v>45</v>
      </c>
      <c r="F93" s="91"/>
      <c r="G93" s="55">
        <v>1</v>
      </c>
      <c r="H93" s="82">
        <f>L41</f>
        <v>0</v>
      </c>
      <c r="I93" s="82"/>
      <c r="J93" s="56"/>
      <c r="K93" s="83">
        <f>IF(J93="",0,H93)</f>
        <v>0</v>
      </c>
      <c r="L93" s="84"/>
    </row>
    <row r="94" spans="2:13" s="6" customFormat="1" ht="14.85" customHeight="1" x14ac:dyDescent="0.3">
      <c r="B94" s="92"/>
      <c r="C94" s="93"/>
      <c r="D94" s="7"/>
      <c r="E94" s="91"/>
      <c r="F94" s="91"/>
      <c r="G94" s="55"/>
      <c r="H94" s="82"/>
      <c r="I94" s="82"/>
      <c r="J94" s="56"/>
      <c r="K94" s="83">
        <f t="shared" ref="K94:K113" si="2">IF(J94="",0,H94)</f>
        <v>0</v>
      </c>
      <c r="L94" s="84"/>
    </row>
    <row r="95" spans="2:13" s="6" customFormat="1" ht="14.85" customHeight="1" x14ac:dyDescent="0.3">
      <c r="B95" s="92"/>
      <c r="C95" s="93"/>
      <c r="D95" s="7"/>
      <c r="E95" s="91"/>
      <c r="F95" s="91"/>
      <c r="G95" s="55"/>
      <c r="H95" s="82"/>
      <c r="I95" s="82"/>
      <c r="J95" s="56"/>
      <c r="K95" s="83">
        <f>IF(J95="",0,H95)</f>
        <v>0</v>
      </c>
      <c r="L95" s="84"/>
    </row>
    <row r="96" spans="2:13" s="6" customFormat="1" ht="14.85" customHeight="1" x14ac:dyDescent="0.3">
      <c r="B96" s="79"/>
      <c r="C96" s="80"/>
      <c r="D96" s="7"/>
      <c r="E96" s="91"/>
      <c r="F96" s="91"/>
      <c r="G96" s="55"/>
      <c r="H96" s="82"/>
      <c r="I96" s="82"/>
      <c r="J96" s="56"/>
      <c r="K96" s="83">
        <f t="shared" ref="K96:K100" si="3">IF(J96="",0,H96)</f>
        <v>0</v>
      </c>
      <c r="L96" s="84"/>
    </row>
    <row r="97" spans="2:12" s="6" customFormat="1" ht="14.85" customHeight="1" x14ac:dyDescent="0.3">
      <c r="B97" s="92"/>
      <c r="C97" s="93"/>
      <c r="D97" s="7"/>
      <c r="E97" s="91"/>
      <c r="F97" s="91"/>
      <c r="G97" s="55"/>
      <c r="H97" s="82"/>
      <c r="I97" s="82"/>
      <c r="J97" s="56"/>
      <c r="K97" s="83">
        <f>IF(J97="",0,H97)</f>
        <v>0</v>
      </c>
      <c r="L97" s="84"/>
    </row>
    <row r="98" spans="2:12" s="6" customFormat="1" ht="14.85" customHeight="1" x14ac:dyDescent="0.3">
      <c r="B98" s="92"/>
      <c r="C98" s="93"/>
      <c r="D98" s="7"/>
      <c r="E98" s="91"/>
      <c r="F98" s="91"/>
      <c r="G98" s="55"/>
      <c r="H98" s="82"/>
      <c r="I98" s="82"/>
      <c r="J98" s="56"/>
      <c r="K98" s="83">
        <f>IF(J98="",0,H98)</f>
        <v>0</v>
      </c>
      <c r="L98" s="84"/>
    </row>
    <row r="99" spans="2:12" s="6" customFormat="1" ht="14.85" customHeight="1" x14ac:dyDescent="0.3">
      <c r="B99" s="79"/>
      <c r="C99" s="80"/>
      <c r="D99" s="7"/>
      <c r="E99" s="91"/>
      <c r="F99" s="91"/>
      <c r="G99" s="55"/>
      <c r="H99" s="82"/>
      <c r="I99" s="82"/>
      <c r="J99" s="56"/>
      <c r="K99" s="83">
        <f t="shared" si="3"/>
        <v>0</v>
      </c>
      <c r="L99" s="84"/>
    </row>
    <row r="100" spans="2:12" s="6" customFormat="1" ht="14.85" customHeight="1" x14ac:dyDescent="0.3">
      <c r="B100" s="79"/>
      <c r="C100" s="80"/>
      <c r="D100" s="7"/>
      <c r="E100" s="81"/>
      <c r="F100" s="81"/>
      <c r="G100" s="55"/>
      <c r="H100" s="82"/>
      <c r="I100" s="82"/>
      <c r="J100" s="56"/>
      <c r="K100" s="83">
        <f t="shared" si="3"/>
        <v>0</v>
      </c>
      <c r="L100" s="84"/>
    </row>
    <row r="101" spans="2:12" s="6" customFormat="1" ht="14.85" customHeight="1" x14ac:dyDescent="0.3">
      <c r="B101" s="79"/>
      <c r="C101" s="80"/>
      <c r="D101" s="7"/>
      <c r="E101" s="91"/>
      <c r="F101" s="91"/>
      <c r="G101" s="55"/>
      <c r="H101" s="82"/>
      <c r="I101" s="82"/>
      <c r="J101" s="56"/>
      <c r="K101" s="83">
        <f>IF(J101="",0,H101)</f>
        <v>0</v>
      </c>
      <c r="L101" s="84"/>
    </row>
    <row r="102" spans="2:12" s="6" customFormat="1" ht="14.85" customHeight="1" x14ac:dyDescent="0.3">
      <c r="B102" s="79"/>
      <c r="C102" s="80"/>
      <c r="D102" s="7"/>
      <c r="E102" s="91"/>
      <c r="F102" s="91"/>
      <c r="G102" s="55"/>
      <c r="H102" s="82"/>
      <c r="I102" s="82"/>
      <c r="J102" s="56"/>
      <c r="K102" s="83">
        <f t="shared" ref="K102:K104" si="4">IF(J102="",0,H102)</f>
        <v>0</v>
      </c>
      <c r="L102" s="84"/>
    </row>
    <row r="103" spans="2:12" s="6" customFormat="1" ht="14.85" customHeight="1" x14ac:dyDescent="0.3">
      <c r="B103" s="79"/>
      <c r="C103" s="80"/>
      <c r="D103" s="7"/>
      <c r="E103" s="91"/>
      <c r="F103" s="91"/>
      <c r="G103" s="55"/>
      <c r="H103" s="82"/>
      <c r="I103" s="82"/>
      <c r="J103" s="56"/>
      <c r="K103" s="83">
        <f t="shared" si="4"/>
        <v>0</v>
      </c>
      <c r="L103" s="84"/>
    </row>
    <row r="104" spans="2:12" s="6" customFormat="1" ht="14.85" customHeight="1" x14ac:dyDescent="0.3">
      <c r="B104" s="79"/>
      <c r="C104" s="80"/>
      <c r="D104" s="7"/>
      <c r="E104" s="81"/>
      <c r="F104" s="81"/>
      <c r="G104" s="55"/>
      <c r="H104" s="82"/>
      <c r="I104" s="82"/>
      <c r="J104" s="56"/>
      <c r="K104" s="83">
        <f t="shared" si="4"/>
        <v>0</v>
      </c>
      <c r="L104" s="84"/>
    </row>
    <row r="105" spans="2:12" s="6" customFormat="1" ht="14.85" customHeight="1" x14ac:dyDescent="0.3">
      <c r="B105" s="79"/>
      <c r="C105" s="80"/>
      <c r="D105" s="7"/>
      <c r="E105" s="91"/>
      <c r="F105" s="91"/>
      <c r="G105" s="55"/>
      <c r="H105" s="82"/>
      <c r="I105" s="82"/>
      <c r="J105" s="56"/>
      <c r="K105" s="83">
        <f>IF(J105="",0,H105)</f>
        <v>0</v>
      </c>
      <c r="L105" s="84"/>
    </row>
    <row r="106" spans="2:12" s="6" customFormat="1" ht="14.85" customHeight="1" x14ac:dyDescent="0.3">
      <c r="B106" s="79"/>
      <c r="C106" s="80"/>
      <c r="D106" s="7"/>
      <c r="E106" s="91"/>
      <c r="F106" s="91"/>
      <c r="G106" s="55"/>
      <c r="H106" s="82"/>
      <c r="I106" s="82"/>
      <c r="J106" s="56"/>
      <c r="K106" s="83">
        <f t="shared" ref="K106:K108" si="5">IF(J106="",0,H106)</f>
        <v>0</v>
      </c>
      <c r="L106" s="84"/>
    </row>
    <row r="107" spans="2:12" s="6" customFormat="1" ht="14.85" customHeight="1" x14ac:dyDescent="0.3">
      <c r="B107" s="79"/>
      <c r="C107" s="80"/>
      <c r="D107" s="7"/>
      <c r="E107" s="91"/>
      <c r="F107" s="91"/>
      <c r="G107" s="55"/>
      <c r="H107" s="82"/>
      <c r="I107" s="82"/>
      <c r="J107" s="56"/>
      <c r="K107" s="83">
        <f t="shared" si="5"/>
        <v>0</v>
      </c>
      <c r="L107" s="84"/>
    </row>
    <row r="108" spans="2:12" s="6" customFormat="1" ht="14.85" customHeight="1" x14ac:dyDescent="0.3">
      <c r="B108" s="79"/>
      <c r="C108" s="80"/>
      <c r="D108" s="7"/>
      <c r="E108" s="81"/>
      <c r="F108" s="81"/>
      <c r="G108" s="55"/>
      <c r="H108" s="82"/>
      <c r="I108" s="82"/>
      <c r="J108" s="56"/>
      <c r="K108" s="83">
        <f t="shared" si="5"/>
        <v>0</v>
      </c>
      <c r="L108" s="84"/>
    </row>
    <row r="109" spans="2:12" s="6" customFormat="1" ht="14.85" customHeight="1" x14ac:dyDescent="0.3">
      <c r="B109" s="79"/>
      <c r="C109" s="80"/>
      <c r="D109" s="7"/>
      <c r="E109" s="91"/>
      <c r="F109" s="91"/>
      <c r="G109" s="55"/>
      <c r="H109" s="82"/>
      <c r="I109" s="82"/>
      <c r="J109" s="56"/>
      <c r="K109" s="83">
        <f>IF(J109="",0,H109)</f>
        <v>0</v>
      </c>
      <c r="L109" s="84"/>
    </row>
    <row r="110" spans="2:12" s="6" customFormat="1" ht="14.85" customHeight="1" x14ac:dyDescent="0.3">
      <c r="B110" s="79"/>
      <c r="C110" s="80"/>
      <c r="D110" s="7"/>
      <c r="E110" s="91"/>
      <c r="F110" s="91"/>
      <c r="G110" s="55"/>
      <c r="H110" s="82"/>
      <c r="I110" s="82"/>
      <c r="J110" s="56"/>
      <c r="K110" s="83">
        <f t="shared" ref="K110" si="6">IF(J110="",0,H110)</f>
        <v>0</v>
      </c>
      <c r="L110" s="84"/>
    </row>
    <row r="111" spans="2:12" s="6" customFormat="1" ht="14.85" customHeight="1" x14ac:dyDescent="0.3">
      <c r="B111" s="79"/>
      <c r="C111" s="80"/>
      <c r="D111" s="7"/>
      <c r="E111" s="91"/>
      <c r="F111" s="91"/>
      <c r="G111" s="55"/>
      <c r="H111" s="82"/>
      <c r="I111" s="82"/>
      <c r="J111" s="56"/>
      <c r="K111" s="83">
        <f t="shared" si="2"/>
        <v>0</v>
      </c>
      <c r="L111" s="84"/>
    </row>
    <row r="112" spans="2:12" s="6" customFormat="1" ht="14.85" customHeight="1" x14ac:dyDescent="0.3">
      <c r="B112" s="79"/>
      <c r="C112" s="80"/>
      <c r="D112" s="7"/>
      <c r="E112" s="81"/>
      <c r="F112" s="81"/>
      <c r="G112" s="55"/>
      <c r="H112" s="82"/>
      <c r="I112" s="82"/>
      <c r="J112" s="56"/>
      <c r="K112" s="83">
        <f t="shared" si="2"/>
        <v>0</v>
      </c>
      <c r="L112" s="84"/>
    </row>
    <row r="113" spans="1:12" s="6" customFormat="1" ht="14.85" customHeight="1" x14ac:dyDescent="0.3">
      <c r="B113" s="79"/>
      <c r="C113" s="80"/>
      <c r="D113" s="7"/>
      <c r="E113" s="81"/>
      <c r="F113" s="81"/>
      <c r="G113" s="55"/>
      <c r="H113" s="82"/>
      <c r="I113" s="82"/>
      <c r="J113" s="56"/>
      <c r="K113" s="83">
        <f t="shared" si="2"/>
        <v>0</v>
      </c>
      <c r="L113" s="84"/>
    </row>
    <row r="114" spans="1:12" s="60" customFormat="1" ht="19.95" customHeight="1" thickBot="1" x14ac:dyDescent="0.35">
      <c r="B114" s="85" t="s">
        <v>9</v>
      </c>
      <c r="C114" s="86"/>
      <c r="D114" s="86"/>
      <c r="E114" s="86"/>
      <c r="F114" s="86"/>
      <c r="G114" s="87"/>
      <c r="H114" s="88">
        <f>SUM(H93:H113)</f>
        <v>0</v>
      </c>
      <c r="I114" s="88"/>
      <c r="J114" s="89">
        <f>SUM(K93:K113)</f>
        <v>0</v>
      </c>
      <c r="K114" s="89"/>
      <c r="L114" s="90"/>
    </row>
    <row r="115" spans="1:12" s="42" customFormat="1" ht="4.95" customHeight="1" thickBot="1" x14ac:dyDescent="0.35">
      <c r="A115" s="40"/>
      <c r="B115" s="40"/>
      <c r="C115" s="1"/>
      <c r="D115" s="40"/>
      <c r="E115" s="40"/>
      <c r="F115" s="40"/>
      <c r="G115" s="40"/>
      <c r="H115" s="40"/>
      <c r="I115" s="41"/>
      <c r="J115" s="40"/>
      <c r="K115" s="40"/>
    </row>
    <row r="116" spans="1:12" s="57" customFormat="1" ht="19.95" customHeight="1" thickBot="1" x14ac:dyDescent="0.35">
      <c r="B116" s="69" t="s">
        <v>7</v>
      </c>
      <c r="C116" s="70"/>
      <c r="D116" s="70"/>
      <c r="E116" s="70"/>
      <c r="F116" s="70"/>
      <c r="G116" s="70"/>
      <c r="H116" s="71">
        <f>IFERROR(SUM(L65:L73)/J114-100%,0)</f>
        <v>0</v>
      </c>
      <c r="I116" s="72"/>
      <c r="J116" s="73">
        <f>SUM(L65:L73)-J114</f>
        <v>0</v>
      </c>
      <c r="K116" s="74"/>
      <c r="L116" s="75"/>
    </row>
    <row r="117" spans="1:12" s="42" customFormat="1" ht="4.95" customHeight="1" thickBot="1" x14ac:dyDescent="0.35">
      <c r="A117" s="40"/>
      <c r="B117" s="40"/>
      <c r="C117" s="1"/>
      <c r="D117" s="40"/>
      <c r="E117" s="40"/>
      <c r="F117" s="40"/>
      <c r="G117" s="40"/>
      <c r="H117" s="40"/>
      <c r="I117" s="41"/>
      <c r="J117" s="40"/>
      <c r="K117" s="40"/>
    </row>
    <row r="118" spans="1:12" s="57" customFormat="1" ht="19.95" customHeight="1" thickBot="1" x14ac:dyDescent="0.35">
      <c r="B118" s="69" t="s">
        <v>8</v>
      </c>
      <c r="C118" s="70"/>
      <c r="D118" s="70"/>
      <c r="E118" s="70"/>
      <c r="F118" s="70"/>
      <c r="G118" s="70"/>
      <c r="H118" s="71">
        <f>IFERROR(L62/H114-100%,0)</f>
        <v>0</v>
      </c>
      <c r="I118" s="72"/>
      <c r="J118" s="76">
        <f>L62-H114</f>
        <v>0</v>
      </c>
      <c r="K118" s="77"/>
      <c r="L118" s="78"/>
    </row>
  </sheetData>
  <mergeCells count="193">
    <mergeCell ref="B9:C9"/>
    <mergeCell ref="D9:H9"/>
    <mergeCell ref="B10:C10"/>
    <mergeCell ref="D10:H10"/>
    <mergeCell ref="B12:C12"/>
    <mergeCell ref="H12:J12"/>
    <mergeCell ref="B2:H4"/>
    <mergeCell ref="J2:L2"/>
    <mergeCell ref="J3:L3"/>
    <mergeCell ref="J4:L4"/>
    <mergeCell ref="B6:L6"/>
    <mergeCell ref="B7:L7"/>
    <mergeCell ref="C23:I23"/>
    <mergeCell ref="C24:I24"/>
    <mergeCell ref="C25:I25"/>
    <mergeCell ref="C26:I26"/>
    <mergeCell ref="C27:I27"/>
    <mergeCell ref="C28:I28"/>
    <mergeCell ref="B13:C13"/>
    <mergeCell ref="B15:L15"/>
    <mergeCell ref="B17:B39"/>
    <mergeCell ref="C17:I17"/>
    <mergeCell ref="C18:I18"/>
    <mergeCell ref="C19:I19"/>
    <mergeCell ref="C20:I20"/>
    <mergeCell ref="C21:I21"/>
    <mergeCell ref="C22:I22"/>
    <mergeCell ref="B16:I16"/>
    <mergeCell ref="C35:I35"/>
    <mergeCell ref="C36:I36"/>
    <mergeCell ref="C37:I37"/>
    <mergeCell ref="C38:I38"/>
    <mergeCell ref="C39:I39"/>
    <mergeCell ref="B40:K40"/>
    <mergeCell ref="C29:I29"/>
    <mergeCell ref="C30:I30"/>
    <mergeCell ref="C31:I31"/>
    <mergeCell ref="C32:I32"/>
    <mergeCell ref="C33:I33"/>
    <mergeCell ref="C34:I34"/>
    <mergeCell ref="C51:I51"/>
    <mergeCell ref="C52:I52"/>
    <mergeCell ref="C53:I53"/>
    <mergeCell ref="C54:I54"/>
    <mergeCell ref="C55:I55"/>
    <mergeCell ref="C56:I56"/>
    <mergeCell ref="B41:J41"/>
    <mergeCell ref="B42:K42"/>
    <mergeCell ref="B44:L44"/>
    <mergeCell ref="B46:B57"/>
    <mergeCell ref="C46:I46"/>
    <mergeCell ref="C47:I47"/>
    <mergeCell ref="C48:I48"/>
    <mergeCell ref="C49:I49"/>
    <mergeCell ref="C50:I50"/>
    <mergeCell ref="B45:I45"/>
    <mergeCell ref="B65:D65"/>
    <mergeCell ref="E65:K65"/>
    <mergeCell ref="B66:D66"/>
    <mergeCell ref="E66:K66"/>
    <mergeCell ref="B67:D67"/>
    <mergeCell ref="E67:K67"/>
    <mergeCell ref="C57:I57"/>
    <mergeCell ref="B58:K58"/>
    <mergeCell ref="B60:K60"/>
    <mergeCell ref="B61:K61"/>
    <mergeCell ref="B62:K62"/>
    <mergeCell ref="B64:L64"/>
    <mergeCell ref="B71:D71"/>
    <mergeCell ref="E71:K71"/>
    <mergeCell ref="B72:D72"/>
    <mergeCell ref="E72:K72"/>
    <mergeCell ref="B73:D73"/>
    <mergeCell ref="E73:K73"/>
    <mergeCell ref="B68:D68"/>
    <mergeCell ref="E68:K68"/>
    <mergeCell ref="B69:D69"/>
    <mergeCell ref="E69:K69"/>
    <mergeCell ref="B70:D70"/>
    <mergeCell ref="E70:K70"/>
    <mergeCell ref="B87:G87"/>
    <mergeCell ref="H87:L87"/>
    <mergeCell ref="B91:L91"/>
    <mergeCell ref="B92:C92"/>
    <mergeCell ref="E92:F92"/>
    <mergeCell ref="H92:I92"/>
    <mergeCell ref="K92:L92"/>
    <mergeCell ref="B74:K74"/>
    <mergeCell ref="B75:K75"/>
    <mergeCell ref="B85:G85"/>
    <mergeCell ref="H85:L85"/>
    <mergeCell ref="B86:G86"/>
    <mergeCell ref="H86:L86"/>
    <mergeCell ref="B77:L77"/>
    <mergeCell ref="B78:L78"/>
    <mergeCell ref="B79:L79"/>
    <mergeCell ref="B80:L80"/>
    <mergeCell ref="B81:L81"/>
    <mergeCell ref="B82:L82"/>
    <mergeCell ref="B83:L83"/>
    <mergeCell ref="B94:C94"/>
    <mergeCell ref="E94:F94"/>
    <mergeCell ref="H94:I94"/>
    <mergeCell ref="K94:L94"/>
    <mergeCell ref="B93:C93"/>
    <mergeCell ref="E93:F93"/>
    <mergeCell ref="H93:I93"/>
    <mergeCell ref="K93:L93"/>
    <mergeCell ref="B97:C97"/>
    <mergeCell ref="E97:F97"/>
    <mergeCell ref="H97:I97"/>
    <mergeCell ref="K97:L97"/>
    <mergeCell ref="B99:C99"/>
    <mergeCell ref="E99:F99"/>
    <mergeCell ref="H99:I99"/>
    <mergeCell ref="K99:L99"/>
    <mergeCell ref="B100:C100"/>
    <mergeCell ref="E100:F100"/>
    <mergeCell ref="H100:I100"/>
    <mergeCell ref="K100:L100"/>
    <mergeCell ref="B95:C95"/>
    <mergeCell ref="E95:F95"/>
    <mergeCell ref="H95:I95"/>
    <mergeCell ref="K95:L95"/>
    <mergeCell ref="B96:C96"/>
    <mergeCell ref="E96:F96"/>
    <mergeCell ref="H96:I96"/>
    <mergeCell ref="K96:L96"/>
    <mergeCell ref="B98:C98"/>
    <mergeCell ref="E98:F98"/>
    <mergeCell ref="H98:I98"/>
    <mergeCell ref="K98:L98"/>
    <mergeCell ref="B103:C103"/>
    <mergeCell ref="E103:F103"/>
    <mergeCell ref="H103:I103"/>
    <mergeCell ref="K103:L103"/>
    <mergeCell ref="B104:C104"/>
    <mergeCell ref="E104:F104"/>
    <mergeCell ref="H104:I104"/>
    <mergeCell ref="K104:L104"/>
    <mergeCell ref="B101:C101"/>
    <mergeCell ref="E101:F101"/>
    <mergeCell ref="H101:I101"/>
    <mergeCell ref="K101:L101"/>
    <mergeCell ref="B102:C102"/>
    <mergeCell ref="E102:F102"/>
    <mergeCell ref="H102:I102"/>
    <mergeCell ref="K102:L102"/>
    <mergeCell ref="B107:C107"/>
    <mergeCell ref="E107:F107"/>
    <mergeCell ref="H107:I107"/>
    <mergeCell ref="K107:L107"/>
    <mergeCell ref="B108:C108"/>
    <mergeCell ref="E108:F108"/>
    <mergeCell ref="H108:I108"/>
    <mergeCell ref="K108:L108"/>
    <mergeCell ref="B105:C105"/>
    <mergeCell ref="E105:F105"/>
    <mergeCell ref="H105:I105"/>
    <mergeCell ref="K105:L105"/>
    <mergeCell ref="B106:C106"/>
    <mergeCell ref="E106:F106"/>
    <mergeCell ref="H106:I106"/>
    <mergeCell ref="K106:L106"/>
    <mergeCell ref="B111:C111"/>
    <mergeCell ref="E111:F111"/>
    <mergeCell ref="H111:I111"/>
    <mergeCell ref="K111:L111"/>
    <mergeCell ref="B112:C112"/>
    <mergeCell ref="E112:F112"/>
    <mergeCell ref="H112:I112"/>
    <mergeCell ref="K112:L112"/>
    <mergeCell ref="B109:C109"/>
    <mergeCell ref="E109:F109"/>
    <mergeCell ref="H109:I109"/>
    <mergeCell ref="K109:L109"/>
    <mergeCell ref="B110:C110"/>
    <mergeCell ref="E110:F110"/>
    <mergeCell ref="H110:I110"/>
    <mergeCell ref="K110:L110"/>
    <mergeCell ref="B116:G116"/>
    <mergeCell ref="H116:I116"/>
    <mergeCell ref="J116:L116"/>
    <mergeCell ref="B118:G118"/>
    <mergeCell ref="H118:I118"/>
    <mergeCell ref="J118:L118"/>
    <mergeCell ref="B113:C113"/>
    <mergeCell ref="E113:F113"/>
    <mergeCell ref="H113:I113"/>
    <mergeCell ref="K113:L113"/>
    <mergeCell ref="B114:G114"/>
    <mergeCell ref="H114:I114"/>
    <mergeCell ref="J114:L114"/>
  </mergeCells>
  <conditionalFormatting sqref="H116">
    <cfRule type="cellIs" dxfId="3" priority="4" operator="lessThan">
      <formula>0</formula>
    </cfRule>
  </conditionalFormatting>
  <conditionalFormatting sqref="H118">
    <cfRule type="cellIs" dxfId="2" priority="1" operator="lessThan">
      <formula>0</formula>
    </cfRule>
  </conditionalFormatting>
  <conditionalFormatting sqref="J116">
    <cfRule type="cellIs" dxfId="1" priority="3" operator="lessThan">
      <formula>0</formula>
    </cfRule>
  </conditionalFormatting>
  <conditionalFormatting sqref="J118">
    <cfRule type="cellIs" dxfId="0" priority="2" operator="lessThan">
      <formula>0</formula>
    </cfRule>
  </conditionalFormatting>
  <dataValidations disablePrompts="1" count="1">
    <dataValidation type="list" allowBlank="1" showInputMessage="1" showErrorMessage="1" sqref="E65:K73" xr:uid="{A1473B35-74BD-4252-90D3-AF2961198FCD}">
      <formula1>"01. CASH,  02. ACH,  03. ZELLE,  04. CHECK"</formula1>
    </dataValidation>
  </dataValidations>
  <printOptions horizontalCentered="1"/>
  <pageMargins left="0.39370078740157499" right="0.39370078740157499" top="0.39370078740157499" bottom="0.39370078740157499" header="0.39370078740157499" footer="0.39370078740157499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US.028.1</vt:lpstr>
      <vt:lpstr>US.028.1!Area_de_impressao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Márcio De Maria</dc:creator>
  <cp:keywords/>
  <dc:description/>
  <cp:lastModifiedBy>Márcio De Maria</cp:lastModifiedBy>
  <cp:revision/>
  <cp:lastPrinted>2026-05-17T04:02:06Z</cp:lastPrinted>
  <dcterms:created xsi:type="dcterms:W3CDTF">2019-04-12T07:36:03Z</dcterms:created>
  <dcterms:modified xsi:type="dcterms:W3CDTF">2026-05-18T05:51:17Z</dcterms:modified>
  <cp:category/>
  <cp:contentStatus/>
</cp:coreProperties>
</file>